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sıl kullanılır" sheetId="1" state="visible" r:id="rId3"/>
    <sheet name="Ürünler" sheetId="2" state="visible" r:id="rId4"/>
    <sheet name="Eşleşmeler" sheetId="3" state="visible" r:id="rId5"/>
  </sheets>
  <definedNames>
    <definedName function="false" hidden="true" localSheetId="1" name="_xlnm._FilterDatabase" vbProcedure="false">Ürünler!$A$1:$H$55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<sst xmlns="http://schemas.openxmlformats.org/spreadsheetml/2006/main" count="400" uniqueCount="199">
  <si>
    <t xml:space="preserve">Hangisi Daha Pahalı? — Başlangıç veri seti (Ekim 2026)</t>
  </si>
  <si>
    <t xml:space="preserve">Ürünler sekmesi: Mavi fiyatlar elle girilen değerlerdir; her birinin tarihi ve kaynak linki yanında. Türetilmiş satırlar (D..) formülle hesaplanır, kaynak fiyat değişince kendiliğinden güncellenir.</t>
  </si>
  <si>
    <t xml:space="preserve">Eşleşmeler sekmesi: Sarı hücrelere iki ürün ID'si yaz; isim, fiyat, kazanan ve fark % otomatik gelir. Fark % düşük olan eşleşmeler en zor ve en eğlenceli turlardır.</t>
  </si>
  <si>
    <t xml:space="preserve">Güncelleme: 'Güncelleme sıklığı' kolonu neyin ne kadar sık eskidiğini gösterir. Altın ve döviz her gün değişir; yayında kullanmadan önce mutlaka yenile ya da API'ye bağla (TCMB EVDS).</t>
  </si>
  <si>
    <t xml:space="preserve">Teyit gerekenler: iPhone 17 ve AirPods Pro 3 fiyatları Mayıs 2026 zammından; iPhone 18 lansmanı sonrası değişmiş olabilir. Ekmek fiyatı fırından fırına değişir.</t>
  </si>
  <si>
    <t xml:space="preserve">Kira: İlçe ortalamaları Endeksa'nın 100 m² standart konut verisidir (Eylül 2026 raporu); tek bir ilanı temsil etmez.</t>
  </si>
  <si>
    <t xml:space="preserve">Yeni ürün eklerken: ID'yi benzersiz ver (kategori harfi + numara), fiyatı mavi, tarihi ve kaynağı mutlaka doldur.</t>
  </si>
  <si>
    <t xml:space="preserve">ID</t>
  </si>
  <si>
    <t xml:space="preserve">Ürün</t>
  </si>
  <si>
    <t xml:space="preserve">Kategori</t>
  </si>
  <si>
    <t xml:space="preserve">Fiyat (TL)</t>
  </si>
  <si>
    <t xml:space="preserve">Not</t>
  </si>
  <si>
    <t xml:space="preserve">Fiyat tarihi</t>
  </si>
  <si>
    <t xml:space="preserve">Güncelleme sıklığı</t>
  </si>
  <si>
    <t xml:space="preserve">Kaynak</t>
  </si>
  <si>
    <t xml:space="preserve">G01</t>
  </si>
  <si>
    <t xml:space="preserve">Simit (İstanbul)</t>
  </si>
  <si>
    <t xml:space="preserve">Gıda</t>
  </si>
  <si>
    <t xml:space="preserve">Tezgâh fiyatı</t>
  </si>
  <si>
    <t xml:space="preserve">26.09.2026</t>
  </si>
  <si>
    <t xml:space="preserve">Aylık</t>
  </si>
  <si>
    <t xml:space="preserve">https://www.politikam.com/istanbulda-simide-zam-geldi-26-eylul-2026-simit-fiyati-kac-tl-oldu</t>
  </si>
  <si>
    <t xml:space="preserve">G02</t>
  </si>
  <si>
    <t xml:space="preserve">Fırın ekmeği 200 g (İstanbul)</t>
  </si>
  <si>
    <t xml:space="preserve">Fırına göre değişebilir</t>
  </si>
  <si>
    <t xml:space="preserve">01.04.2026</t>
  </si>
  <si>
    <t xml:space="preserve">https://www.haberturk.com/turkiye-firincilar-federasyonu-duyurdu-ekmege-zam-geldi-istanbul-da-ekmek-fiyatlari-ne-kadar-zam-geldi-mi-3873980</t>
  </si>
  <si>
    <t xml:space="preserve">G03</t>
  </si>
  <si>
    <t xml:space="preserve">Halk Ekmek 250 g</t>
  </si>
  <si>
    <t xml:space="preserve">İBB Halk Ekmek büfesi</t>
  </si>
  <si>
    <t xml:space="preserve">Ekim 2026</t>
  </si>
  <si>
    <t xml:space="preserve">https://www.kayserianadoluhaber.com.tr/istanbul-da-kayseri-konya-ve-gaziantep-ornegi-halk-ekmek-te-istanbul-geride-mi-kaldi/200259</t>
  </si>
  <si>
    <t xml:space="preserve">U01</t>
  </si>
  <si>
    <t xml:space="preserve">İstanbulkart tam biniş</t>
  </si>
  <si>
    <t xml:space="preserve">Ulaşım</t>
  </si>
  <si>
    <t xml:space="preserve">Elektronik tam bilet</t>
  </si>
  <si>
    <t xml:space="preserve">20.07.2026</t>
  </si>
  <si>
    <t xml:space="preserve">Zam olunca</t>
  </si>
  <si>
    <t xml:space="preserve">https://www.gzt.com/ekonomi/istanbul-toplu-tasima-zammi-2026-son-dakika-marmaray-metro-otobus-ve-metrobus-ucreti-ne-kadar-oldu-iett-yeni-ucret-tarifesi-istanbul-ulasim-zammi-ne-zaman-uygulanacak-4242283</t>
  </si>
  <si>
    <t xml:space="preserve">U02</t>
  </si>
  <si>
    <t xml:space="preserve">İstanbulkart öğrenci biniş</t>
  </si>
  <si>
    <t xml:space="preserve">U03</t>
  </si>
  <si>
    <t xml:space="preserve">Mavi Kart (aylık tam abonman)</t>
  </si>
  <si>
    <t xml:space="preserve">U04</t>
  </si>
  <si>
    <t xml:space="preserve">Taksi açılış ücreti (İstanbul)</t>
  </si>
  <si>
    <t xml:space="preserve">U05</t>
  </si>
  <si>
    <t xml:space="preserve">Taksi kısa mesafe ücreti (İstanbul)</t>
  </si>
  <si>
    <t xml:space="preserve">U06</t>
  </si>
  <si>
    <t xml:space="preserve">YHT İstanbul–Ankara (tek yön, ekonomi)</t>
  </si>
  <si>
    <t xml:space="preserve">17.08.2026</t>
  </si>
  <si>
    <t xml:space="preserve">https://www.bloomberght.com/yht-bilet-fiyatlarina-zam-yapildi-3785720</t>
  </si>
  <si>
    <t xml:space="preserve">U07</t>
  </si>
  <si>
    <t xml:space="preserve">YHT İstanbul–Konya (tek yön, ekonomi)</t>
  </si>
  <si>
    <t xml:space="preserve">Y01</t>
  </si>
  <si>
    <t xml:space="preserve">1 litre benzin (İstanbul Avrupa)</t>
  </si>
  <si>
    <t xml:space="preserve">Akaryakıt</t>
  </si>
  <si>
    <t xml:space="preserve">15.10.2026</t>
  </si>
  <si>
    <t xml:space="preserve">Haftalık</t>
  </si>
  <si>
    <t xml:space="preserve">https://www.yeniasir.com.tr/ekonomi/2026/10/15/depoyu-doldurmadan-once-bakin-15-ekim-benzin-motorin-ve-lpg-fiyatlari-akaryakita-zam-geldi-mi</t>
  </si>
  <si>
    <t xml:space="preserve">Y02</t>
  </si>
  <si>
    <t xml:space="preserve">1 litre motorin (İstanbul Avrupa)</t>
  </si>
  <si>
    <t xml:space="preserve">Y03</t>
  </si>
  <si>
    <t xml:space="preserve">1 litre LPG (İstanbul Avrupa)</t>
  </si>
  <si>
    <t xml:space="preserve">T01</t>
  </si>
  <si>
    <t xml:space="preserve">iPhone 18 Pro 256 GB</t>
  </si>
  <si>
    <t xml:space="preserve">Teknoloji</t>
  </si>
  <si>
    <t xml:space="preserve">Apple Türkiye liste fiyatı</t>
  </si>
  <si>
    <t xml:space="preserve">Eylül 2026</t>
  </si>
  <si>
    <t xml:space="preserve">https://www.tamindir.com/haber/yeni-iphone-modelleri-turkiye-fiyati_112035/</t>
  </si>
  <si>
    <t xml:space="preserve">T02</t>
  </si>
  <si>
    <t xml:space="preserve">iPhone 18 Pro Max 256 GB</t>
  </si>
  <si>
    <t xml:space="preserve">T03</t>
  </si>
  <si>
    <t xml:space="preserve">iPhone 18 Pro Max 2 TB</t>
  </si>
  <si>
    <t xml:space="preserve">T04</t>
  </si>
  <si>
    <t xml:space="preserve">iPhone Duo 256 GB (katlanabilir)</t>
  </si>
  <si>
    <t xml:space="preserve">T05</t>
  </si>
  <si>
    <t xml:space="preserve">iPhone 17 256 GB</t>
  </si>
  <si>
    <t xml:space="preserve">Mayıs zammı sonrası; Apple sitesinden teyit et</t>
  </si>
  <si>
    <t xml:space="preserve">05.05.2026</t>
  </si>
  <si>
    <t xml:space="preserve">https://www.log.com.tr/apple-turkiye-iphone-17-ailesinin-fiyatlarina-zam-yapti/</t>
  </si>
  <si>
    <t xml:space="preserve">T06</t>
  </si>
  <si>
    <t xml:space="preserve">AirPods Pro 3</t>
  </si>
  <si>
    <t xml:space="preserve">Mayıs zammı sonrası; teyit et</t>
  </si>
  <si>
    <t xml:space="preserve">T07</t>
  </si>
  <si>
    <t xml:space="preserve">PS5 Digital</t>
  </si>
  <si>
    <t xml:space="preserve">Amazon.com.tr teklifi</t>
  </si>
  <si>
    <t xml:space="preserve">19.10.2026</t>
  </si>
  <si>
    <t xml:space="preserve">https://www.teknoblog.com/oyun-konsolu-satin-alma-rehberi-2026</t>
  </si>
  <si>
    <t xml:space="preserve">T08</t>
  </si>
  <si>
    <t xml:space="preserve">PS5 diskli + 2 DualSense</t>
  </si>
  <si>
    <t xml:space="preserve">A01</t>
  </si>
  <si>
    <t xml:space="preserve">Netflix Temel (aylık)</t>
  </si>
  <si>
    <t xml:space="preserve">Abonelik</t>
  </si>
  <si>
    <t xml:space="preserve">https://teknoblog.com/netflix-turkiye-fiyatlari-ekim-2026</t>
  </si>
  <si>
    <t xml:space="preserve">A02</t>
  </si>
  <si>
    <t xml:space="preserve">Netflix Standart (aylık)</t>
  </si>
  <si>
    <t xml:space="preserve">A03</t>
  </si>
  <si>
    <t xml:space="preserve">Netflix Premium (aylık)</t>
  </si>
  <si>
    <t xml:space="preserve">A04</t>
  </si>
  <si>
    <t xml:space="preserve">Spotify Premium Bireysel (aylık)</t>
  </si>
  <si>
    <t xml:space="preserve">01.10.2026</t>
  </si>
  <si>
    <t xml:space="preserve">https://www.dunya.com/sektorler/bilim-ve-teknoloji/spotify-aboneliklerine-zam-geldi-haberi-842318</t>
  </si>
  <si>
    <t xml:space="preserve">A05</t>
  </si>
  <si>
    <t xml:space="preserve">Spotify Premium Öğrenci (aylık)</t>
  </si>
  <si>
    <t xml:space="preserve">A06</t>
  </si>
  <si>
    <t xml:space="preserve">Spotify Premium Aile (aylık)</t>
  </si>
  <si>
    <t xml:space="preserve">O01</t>
  </si>
  <si>
    <t xml:space="preserve">Togg T10X V1 RWD Standart Menzil</t>
  </si>
  <si>
    <t xml:space="preserve">Otomobil</t>
  </si>
  <si>
    <t xml:space="preserve">Anahtar teslim liste</t>
  </si>
  <si>
    <t xml:space="preserve">https://www.milligazete.com.tr/togg-t10f-ve-t10x-ekim-fiyatlari-ne-kadar-2026-togg-guncel-fiyat-listesi</t>
  </si>
  <si>
    <t xml:space="preserve">O02</t>
  </si>
  <si>
    <t xml:space="preserve">Togg T10F (giriş)</t>
  </si>
  <si>
    <t xml:space="preserve">O03</t>
  </si>
  <si>
    <t xml:space="preserve">Renault Clio evolution plus</t>
  </si>
  <si>
    <t xml:space="preserve">Liste fiyatı</t>
  </si>
  <si>
    <t xml:space="preserve">12.10.2026</t>
  </si>
  <si>
    <t xml:space="preserve">https://www.teknoblog.com/renault-ekim-2026-fiyatlari/</t>
  </si>
  <si>
    <t xml:space="preserve">O04</t>
  </si>
  <si>
    <t xml:space="preserve">Renault Duster (giriş)</t>
  </si>
  <si>
    <t xml:space="preserve">O05</t>
  </si>
  <si>
    <t xml:space="preserve">Renault 5 E-Tech Techno</t>
  </si>
  <si>
    <t xml:space="preserve">O06</t>
  </si>
  <si>
    <t xml:space="preserve">Fiat Egea Cross (giriş, kampanyalı)</t>
  </si>
  <si>
    <t xml:space="preserve">Nakit kampanyalı</t>
  </si>
  <si>
    <t xml:space="preserve">https://www.cnbce.com/otomotiv/fiat-ekim-ayi-fiyat-listesini-acikladi-en-cok-satan-modelde-kampanya-egea-fiyat-listesi-egea-cross-fiyat-listesi-fiat-ekim-fiyat-listesi-h38644</t>
  </si>
  <si>
    <t xml:space="preserve">O07</t>
  </si>
  <si>
    <t xml:space="preserve">Fiat Grande Panda (kampanyalı)</t>
  </si>
  <si>
    <t xml:space="preserve">O08</t>
  </si>
  <si>
    <t xml:space="preserve">Fiat 500e Giorgio Armani</t>
  </si>
  <si>
    <t xml:space="preserve">K01</t>
  </si>
  <si>
    <t xml:space="preserve">Kadıköy 100 m² aylık kira</t>
  </si>
  <si>
    <t xml:space="preserve">Konut</t>
  </si>
  <si>
    <t xml:space="preserve">Endeksa ortalaması</t>
  </si>
  <si>
    <t xml:space="preserve">https://www.gazetebirlik.com/ekonomi/istanbulda-ortalama-kira-57-bin-100-tl-oldu-en-pahali-ve-en-ucuz-ilceler-belli-oldu/1091377</t>
  </si>
  <si>
    <t xml:space="preserve">K02</t>
  </si>
  <si>
    <t xml:space="preserve">Beşiktaş 100 m² aylık kira</t>
  </si>
  <si>
    <t xml:space="preserve">K03</t>
  </si>
  <si>
    <t xml:space="preserve">Bakırköy 100 m² aylık kira</t>
  </si>
  <si>
    <t xml:space="preserve">K04</t>
  </si>
  <si>
    <t xml:space="preserve">Esenyurt 100 m² aylık kira</t>
  </si>
  <si>
    <t xml:space="preserve">K05</t>
  </si>
  <si>
    <t xml:space="preserve">İstanbul ortalaması 100 m² aylık kira</t>
  </si>
  <si>
    <t xml:space="preserve">F01</t>
  </si>
  <si>
    <t xml:space="preserve">1 gram altın</t>
  </si>
  <si>
    <t xml:space="preserve">Finans</t>
  </si>
  <si>
    <t xml:space="preserve">Serbest piyasa satış, sabah</t>
  </si>
  <si>
    <t xml:space="preserve">20.10.2026</t>
  </si>
  <si>
    <t xml:space="preserve">Günlük</t>
  </si>
  <si>
    <t xml:space="preserve">https://www.bloomberght.com/gram-altinda-son-durum-ne-20-ekim-2026-sali-altin-fiyatlari-pkh1-3791876</t>
  </si>
  <si>
    <t xml:space="preserve">F02</t>
  </si>
  <si>
    <t xml:space="preserve">Çeyrek altın</t>
  </si>
  <si>
    <t xml:space="preserve">Satış</t>
  </si>
  <si>
    <t xml:space="preserve">https://www.birgun.net/haber/20-ekim-2026-sali-guncel-altin-fiyatlari-741360</t>
  </si>
  <si>
    <t xml:space="preserve">F03</t>
  </si>
  <si>
    <t xml:space="preserve">Cumhuriyet altını</t>
  </si>
  <si>
    <t xml:space="preserve">F04</t>
  </si>
  <si>
    <t xml:space="preserve">1 ABD Doları</t>
  </si>
  <si>
    <t xml:space="preserve">https://www.ekonomist.com.tr/altin/altin-piyasasinda-yon-asagi-dondu-20-ekim-2026-gram-ceyrek-yarim-ve-tam-altin-ne-kadar--80017</t>
  </si>
  <si>
    <t xml:space="preserve">F05</t>
  </si>
  <si>
    <t xml:space="preserve">1 Euro</t>
  </si>
  <si>
    <t xml:space="preserve">F06</t>
  </si>
  <si>
    <t xml:space="preserve">Net asgari ücret (aylık)</t>
  </si>
  <si>
    <t xml:space="preserve">2026 boyunca geçerli</t>
  </si>
  <si>
    <t xml:space="preserve">01.01.2026</t>
  </si>
  <si>
    <t xml:space="preserve">Yıllık</t>
  </si>
  <si>
    <t xml:space="preserve">https://www.ey.com/tr_tr/insights/tax/2026-asgari-ucret</t>
  </si>
  <si>
    <t xml:space="preserve">D01</t>
  </si>
  <si>
    <t xml:space="preserve">50 litrelik benzin deposu</t>
  </si>
  <si>
    <t xml:space="preserve">Türetilmiş</t>
  </si>
  <si>
    <t xml:space="preserve">50 × benzin litre fiyatı</t>
  </si>
  <si>
    <t xml:space="preserve">—</t>
  </si>
  <si>
    <t xml:space="preserve">Kaynağıyla birlikte</t>
  </si>
  <si>
    <t xml:space="preserve">D02</t>
  </si>
  <si>
    <t xml:space="preserve">Netflix Premium 1 yıl</t>
  </si>
  <si>
    <t xml:space="preserve">12 × aylık</t>
  </si>
  <si>
    <t xml:space="preserve">D03</t>
  </si>
  <si>
    <t xml:space="preserve">Spotify Bireysel 1 yıl</t>
  </si>
  <si>
    <t xml:space="preserve">D04</t>
  </si>
  <si>
    <t xml:space="preserve">Mavi Kart 1 yıl</t>
  </si>
  <si>
    <t xml:space="preserve">D05</t>
  </si>
  <si>
    <t xml:space="preserve">Esenyurt 100 m² 1 yıllık kira</t>
  </si>
  <si>
    <t xml:space="preserve">D06</t>
  </si>
  <si>
    <t xml:space="preserve">5 aylık net asgari ücret</t>
  </si>
  <si>
    <t xml:space="preserve">5 × aylık</t>
  </si>
  <si>
    <t xml:space="preserve">D07</t>
  </si>
  <si>
    <t xml:space="preserve">5 İstanbulkart tam biniş</t>
  </si>
  <si>
    <t xml:space="preserve">5 × biniş</t>
  </si>
  <si>
    <t xml:space="preserve">D08</t>
  </si>
  <si>
    <t xml:space="preserve">33 simit</t>
  </si>
  <si>
    <t xml:space="preserve">33 × simit</t>
  </si>
  <si>
    <t xml:space="preserve">A ürünü (ID)</t>
  </si>
  <si>
    <t xml:space="preserve">B ürünü (ID)</t>
  </si>
  <si>
    <t xml:space="preserve">A</t>
  </si>
  <si>
    <t xml:space="preserve">A fiyatı (TL)</t>
  </si>
  <si>
    <t xml:space="preserve">B</t>
  </si>
  <si>
    <t xml:space="preserve">B fiyatı (TL)</t>
  </si>
  <si>
    <t xml:space="preserve">Daha pahalı</t>
  </si>
  <si>
    <t xml:space="preserve">Fark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</si>
</sst>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politikam.com/istanbulda-simide-zam-geldi-26-eylul-2026-simit-fiyati-kac-tl-oldu" TargetMode="External"/><Relationship Id="rId2" Type="http://schemas.openxmlformats.org/officeDocument/2006/relationships/hyperlink" Target="https://www.haberturk.com/turkiye-firincilar-federasyonu-duyurdu-ekmege-zam-geldi-istanbul-da-ekmek-fiyatlari-ne-kadar-zam-geldi-mi-3873980" TargetMode="External"/><Relationship Id="rId3" Type="http://schemas.openxmlformats.org/officeDocument/2006/relationships/hyperlink" Target="https://www.kayserianadoluhaber.com.tr/istanbul-da-kayseri-konya-ve-gaziantep-ornegi-halk-ekmek-te-istanbul-geride-mi-kaldi/200259" TargetMode="External"/><Relationship Id="rId4" Type="http://schemas.openxmlformats.org/officeDocument/2006/relationships/hyperlink" Target="https://www.gzt.com/ekonomi/istanbul-toplu-tasima-zammi-2026-son-dakika-marmaray-metro-otobus-ve-metrobus-ucreti-ne-kadar-oldu-iett-yeni-ucret-tarifesi-istanbul-ulasim-zammi-ne-zaman-uygulanacak-4242283" TargetMode="External"/><Relationship Id="rId5" Type="http://schemas.openxmlformats.org/officeDocument/2006/relationships/hyperlink" Target="https://www.gzt.com/ekonomi/istanbul-toplu-tasima-zammi-2026-son-dakika-marmaray-metro-otobus-ve-metrobus-ucreti-ne-kadar-oldu-iett-yeni-ucret-tarifesi-istanbul-ulasim-zammi-ne-zaman-uygulanacak-4242283" TargetMode="External"/><Relationship Id="rId6" Type="http://schemas.openxmlformats.org/officeDocument/2006/relationships/hyperlink" Target="https://www.gzt.com/ekonomi/istanbul-toplu-tasima-zammi-2026-son-dakika-marmaray-metro-otobus-ve-metrobus-ucreti-ne-kadar-oldu-iett-yeni-ucret-tarifesi-istanbul-ulasim-zammi-ne-zaman-uygulanacak-4242283" TargetMode="External"/><Relationship Id="rId7" Type="http://schemas.openxmlformats.org/officeDocument/2006/relationships/hyperlink" Target="https://www.gzt.com/ekonomi/istanbul-toplu-tasima-zammi-2026-son-dakika-marmaray-metro-otobus-ve-metrobus-ucreti-ne-kadar-oldu-iett-yeni-ucret-tarifesi-istanbul-ulasim-zammi-ne-zaman-uygulanacak-4242283" TargetMode="External"/><Relationship Id="rId8" Type="http://schemas.openxmlformats.org/officeDocument/2006/relationships/hyperlink" Target="https://www.gzt.com/ekonomi/istanbul-toplu-tasima-zammi-2026-son-dakika-marmaray-metro-otobus-ve-metrobus-ucreti-ne-kadar-oldu-iett-yeni-ucret-tarifesi-istanbul-ulasim-zammi-ne-zaman-uygulanacak-4242283" TargetMode="External"/><Relationship Id="rId9" Type="http://schemas.openxmlformats.org/officeDocument/2006/relationships/hyperlink" Target="https://www.bloomberght.com/yht-bilet-fiyatlarina-zam-yapildi-3785720" TargetMode="External"/><Relationship Id="rId10" Type="http://schemas.openxmlformats.org/officeDocument/2006/relationships/hyperlink" Target="https://www.bloomberght.com/yht-bilet-fiyatlarina-zam-yapildi-3785720" TargetMode="External"/><Relationship Id="rId11" Type="http://schemas.openxmlformats.org/officeDocument/2006/relationships/hyperlink" Target="https://www.yeniasir.com.tr/ekonomi/2026/10/15/depoyu-doldurmadan-once-bakin-15-ekim-benzin-motorin-ve-lpg-fiyatlari-akaryakita-zam-geldi-mi" TargetMode="External"/><Relationship Id="rId12" Type="http://schemas.openxmlformats.org/officeDocument/2006/relationships/hyperlink" Target="https://www.yeniasir.com.tr/ekonomi/2026/10/15/depoyu-doldurmadan-once-bakin-15-ekim-benzin-motorin-ve-lpg-fiyatlari-akaryakita-zam-geldi-mi" TargetMode="External"/><Relationship Id="rId13" Type="http://schemas.openxmlformats.org/officeDocument/2006/relationships/hyperlink" Target="https://www.yeniasir.com.tr/ekonomi/2026/10/15/depoyu-doldurmadan-once-bakin-15-ekim-benzin-motorin-ve-lpg-fiyatlari-akaryakita-zam-geldi-mi" TargetMode="External"/><Relationship Id="rId14" Type="http://schemas.openxmlformats.org/officeDocument/2006/relationships/hyperlink" Target="https://www.tamindir.com/haber/yeni-iphone-modelleri-turkiye-fiyati_112035/" TargetMode="External"/><Relationship Id="rId15" Type="http://schemas.openxmlformats.org/officeDocument/2006/relationships/hyperlink" Target="https://www.tamindir.com/haber/yeni-iphone-modelleri-turkiye-fiyati_112035/" TargetMode="External"/><Relationship Id="rId16" Type="http://schemas.openxmlformats.org/officeDocument/2006/relationships/hyperlink" Target="https://www.tamindir.com/haber/yeni-iphone-modelleri-turkiye-fiyati_112035/" TargetMode="External"/><Relationship Id="rId17" Type="http://schemas.openxmlformats.org/officeDocument/2006/relationships/hyperlink" Target="https://www.tamindir.com/haber/yeni-iphone-modelleri-turkiye-fiyati_112035/" TargetMode="External"/><Relationship Id="rId18" Type="http://schemas.openxmlformats.org/officeDocument/2006/relationships/hyperlink" Target="https://www.log.com.tr/apple-turkiye-iphone-17-ailesinin-fiyatlarina-zam-yapti/" TargetMode="External"/><Relationship Id="rId19" Type="http://schemas.openxmlformats.org/officeDocument/2006/relationships/hyperlink" Target="https://www.log.com.tr/apple-turkiye-iphone-17-ailesinin-fiyatlarina-zam-yapti/" TargetMode="External"/><Relationship Id="rId20" Type="http://schemas.openxmlformats.org/officeDocument/2006/relationships/hyperlink" Target="https://www.teknoblog.com/oyun-konsolu-satin-alma-rehberi-2026" TargetMode="External"/><Relationship Id="rId21" Type="http://schemas.openxmlformats.org/officeDocument/2006/relationships/hyperlink" Target="https://www.teknoblog.com/oyun-konsolu-satin-alma-rehberi-2026" TargetMode="External"/><Relationship Id="rId22" Type="http://schemas.openxmlformats.org/officeDocument/2006/relationships/hyperlink" Target="https://teknoblog.com/netflix-turkiye-fiyatlari-ekim-2026" TargetMode="External"/><Relationship Id="rId23" Type="http://schemas.openxmlformats.org/officeDocument/2006/relationships/hyperlink" Target="https://teknoblog.com/netflix-turkiye-fiyatlari-ekim-2026" TargetMode="External"/><Relationship Id="rId24" Type="http://schemas.openxmlformats.org/officeDocument/2006/relationships/hyperlink" Target="https://teknoblog.com/netflix-turkiye-fiyatlari-ekim-2026" TargetMode="External"/><Relationship Id="rId25" Type="http://schemas.openxmlformats.org/officeDocument/2006/relationships/hyperlink" Target="https://www.dunya.com/sektorler/bilim-ve-teknoloji/spotify-aboneliklerine-zam-geldi-haberi-842318" TargetMode="External"/><Relationship Id="rId26" Type="http://schemas.openxmlformats.org/officeDocument/2006/relationships/hyperlink" Target="https://www.dunya.com/sektorler/bilim-ve-teknoloji/spotify-aboneliklerine-zam-geldi-haberi-842318" TargetMode="External"/><Relationship Id="rId27" Type="http://schemas.openxmlformats.org/officeDocument/2006/relationships/hyperlink" Target="https://www.dunya.com/sektorler/bilim-ve-teknoloji/spotify-aboneliklerine-zam-geldi-haberi-842318" TargetMode="External"/><Relationship Id="rId28" Type="http://schemas.openxmlformats.org/officeDocument/2006/relationships/hyperlink" Target="https://www.milligazete.com.tr/togg-t10f-ve-t10x-ekim-fiyatlari-ne-kadar-2026-togg-guncel-fiyat-listesi" TargetMode="External"/><Relationship Id="rId29" Type="http://schemas.openxmlformats.org/officeDocument/2006/relationships/hyperlink" Target="https://www.milligazete.com.tr/togg-t10f-ve-t10x-ekim-fiyatlari-ne-kadar-2026-togg-guncel-fiyat-listesi" TargetMode="External"/><Relationship Id="rId30" Type="http://schemas.openxmlformats.org/officeDocument/2006/relationships/hyperlink" Target="https://www.teknoblog.com/renault-ekim-2026-fiyatlari/" TargetMode="External"/><Relationship Id="rId31" Type="http://schemas.openxmlformats.org/officeDocument/2006/relationships/hyperlink" Target="https://www.teknoblog.com/renault-ekim-2026-fiyatlari/" TargetMode="External"/><Relationship Id="rId32" Type="http://schemas.openxmlformats.org/officeDocument/2006/relationships/hyperlink" Target="https://www.teknoblog.com/renault-ekim-2026-fiyatlari/" TargetMode="External"/><Relationship Id="rId33" Type="http://schemas.openxmlformats.org/officeDocument/2006/relationships/hyperlink" Target="https://www.cnbce.com/otomotiv/fiat-ekim-ayi-fiyat-listesini-acikladi-en-cok-satan-modelde-kampanya-egea-fiyat-listesi-egea-cross-fiyat-listesi-fiat-ekim-fiyat-listesi-h38644" TargetMode="External"/><Relationship Id="rId34" Type="http://schemas.openxmlformats.org/officeDocument/2006/relationships/hyperlink" Target="https://www.cnbce.com/otomotiv/fiat-ekim-ayi-fiyat-listesini-acikladi-en-cok-satan-modelde-kampanya-egea-fiyat-listesi-egea-cross-fiyat-listesi-fiat-ekim-fiyat-listesi-h38644" TargetMode="External"/><Relationship Id="rId35" Type="http://schemas.openxmlformats.org/officeDocument/2006/relationships/hyperlink" Target="https://www.cnbce.com/otomotiv/fiat-ekim-ayi-fiyat-listesini-acikladi-en-cok-satan-modelde-kampanya-egea-fiyat-listesi-egea-cross-fiyat-listesi-fiat-ekim-fiyat-listesi-h38644" TargetMode="External"/><Relationship Id="rId36" Type="http://schemas.openxmlformats.org/officeDocument/2006/relationships/hyperlink" Target="https://www.gazetebirlik.com/ekonomi/istanbulda-ortalama-kira-57-bin-100-tl-oldu-en-pahali-ve-en-ucuz-ilceler-belli-oldu/1091377" TargetMode="External"/><Relationship Id="rId37" Type="http://schemas.openxmlformats.org/officeDocument/2006/relationships/hyperlink" Target="https://www.gazetebirlik.com/ekonomi/istanbulda-ortalama-kira-57-bin-100-tl-oldu-en-pahali-ve-en-ucuz-ilceler-belli-oldu/1091377" TargetMode="External"/><Relationship Id="rId38" Type="http://schemas.openxmlformats.org/officeDocument/2006/relationships/hyperlink" Target="https://www.gazetebirlik.com/ekonomi/istanbulda-ortalama-kira-57-bin-100-tl-oldu-en-pahali-ve-en-ucuz-ilceler-belli-oldu/1091377" TargetMode="External"/><Relationship Id="rId39" Type="http://schemas.openxmlformats.org/officeDocument/2006/relationships/hyperlink" Target="https://www.gazetebirlik.com/ekonomi/istanbulda-ortalama-kira-57-bin-100-tl-oldu-en-pahali-ve-en-ucuz-ilceler-belli-oldu/1091377" TargetMode="External"/><Relationship Id="rId40" Type="http://schemas.openxmlformats.org/officeDocument/2006/relationships/hyperlink" Target="https://www.gazetebirlik.com/ekonomi/istanbulda-ortalama-kira-57-bin-100-tl-oldu-en-pahali-ve-en-ucuz-ilceler-belli-oldu/1091377" TargetMode="External"/><Relationship Id="rId41" Type="http://schemas.openxmlformats.org/officeDocument/2006/relationships/hyperlink" Target="https://www.bloomberght.com/gram-altinda-son-durum-ne-20-ekim-2026-sali-altin-fiyatlari-pkh1-3791876" TargetMode="External"/><Relationship Id="rId42" Type="http://schemas.openxmlformats.org/officeDocument/2006/relationships/hyperlink" Target="https://www.birgun.net/haber/20-ekim-2026-sali-guncel-altin-fiyatlari-741360" TargetMode="External"/><Relationship Id="rId43" Type="http://schemas.openxmlformats.org/officeDocument/2006/relationships/hyperlink" Target="https://www.birgun.net/haber/20-ekim-2026-sali-guncel-altin-fiyatlari-741360" TargetMode="External"/><Relationship Id="rId44" Type="http://schemas.openxmlformats.org/officeDocument/2006/relationships/hyperlink" Target="https://www.ekonomist.com.tr/altin/altin-piyasasinda-yon-asagi-dondu-20-ekim-2026-gram-ceyrek-yarim-ve-tam-altin-ne-kadar--80017" TargetMode="External"/><Relationship Id="rId45" Type="http://schemas.openxmlformats.org/officeDocument/2006/relationships/hyperlink" Target="https://www.ekonomist.com.tr/altin/altin-piyasasinda-yon-asagi-dondu-20-ekim-2026-gram-ceyrek-yarim-ve-tam-altin-ne-kadar--80017" TargetMode="External"/><Relationship Id="rId46" Type="http://schemas.openxmlformats.org/officeDocument/2006/relationships/hyperlink" Target="https://www.ey.com/tr_tr/insights/tax/2026-asgari-ucret" TargetMode="External"/><Relationship Id="rId47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6.85" hidden="false" customHeight="false" outlineLevel="0" collapsed="false">
      <c r="A3" s="2" t="s">
        <v>1</v>
      </c>
    </row>
    <row r="4" customFormat="false" ht="26.85" hidden="false" customHeight="false" outlineLevel="0" collapsed="false">
      <c r="A4" s="2" t="s">
        <v>2</v>
      </c>
    </row>
    <row r="5" customFormat="false" ht="26.85" hidden="false" customHeight="false" outlineLevel="0" collapsed="false">
      <c r="A5" s="2" t="s">
        <v>3</v>
      </c>
    </row>
    <row r="6" customFormat="false" ht="26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40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</row>
    <row r="2" customFormat="false" ht="15" hidden="false" customHeight="false" outlineLevel="0" collapsed="false">
      <c r="A2" s="4" t="s">
        <v>15</v>
      </c>
      <c r="B2" s="4" t="s">
        <v>16</v>
      </c>
      <c r="C2" s="4" t="s">
        <v>17</v>
      </c>
      <c r="D2" s="5" t="n">
        <v>30</v>
      </c>
      <c r="E2" s="4" t="s">
        <v>18</v>
      </c>
      <c r="F2" s="4" t="s">
        <v>19</v>
      </c>
      <c r="G2" s="4" t="s">
        <v>20</v>
      </c>
      <c r="H2" s="6" t="s">
        <v>21</v>
      </c>
    </row>
    <row r="3" customFormat="false" ht="15" hidden="false" customHeight="false" outlineLevel="0" collapsed="false">
      <c r="A3" s="4" t="s">
        <v>22</v>
      </c>
      <c r="B3" s="4" t="s">
        <v>23</v>
      </c>
      <c r="C3" s="4" t="s">
        <v>17</v>
      </c>
      <c r="D3" s="5" t="n">
        <v>17.5</v>
      </c>
      <c r="E3" s="4" t="s">
        <v>24</v>
      </c>
      <c r="F3" s="4" t="s">
        <v>25</v>
      </c>
      <c r="G3" s="4" t="s">
        <v>20</v>
      </c>
      <c r="H3" s="6" t="s">
        <v>26</v>
      </c>
    </row>
    <row r="4" customFormat="false" ht="15" hidden="false" customHeight="false" outlineLevel="0" collapsed="false">
      <c r="A4" s="4" t="s">
        <v>27</v>
      </c>
      <c r="B4" s="4" t="s">
        <v>28</v>
      </c>
      <c r="C4" s="4" t="s">
        <v>17</v>
      </c>
      <c r="D4" s="5" t="n">
        <v>12.5</v>
      </c>
      <c r="E4" s="4" t="s">
        <v>29</v>
      </c>
      <c r="F4" s="4" t="s">
        <v>30</v>
      </c>
      <c r="G4" s="4" t="s">
        <v>20</v>
      </c>
      <c r="H4" s="6" t="s">
        <v>31</v>
      </c>
    </row>
    <row r="5" customFormat="false" ht="15" hidden="false" customHeight="false" outlineLevel="0" collapsed="false">
      <c r="A5" s="4" t="s">
        <v>32</v>
      </c>
      <c r="B5" s="4" t="s">
        <v>33</v>
      </c>
      <c r="C5" s="4" t="s">
        <v>34</v>
      </c>
      <c r="D5" s="5" t="n">
        <v>46.2</v>
      </c>
      <c r="E5" s="4" t="s">
        <v>35</v>
      </c>
      <c r="F5" s="4" t="s">
        <v>36</v>
      </c>
      <c r="G5" s="4" t="s">
        <v>37</v>
      </c>
      <c r="H5" s="6" t="s">
        <v>38</v>
      </c>
    </row>
    <row r="6" customFormat="false" ht="15" hidden="false" customHeight="false" outlineLevel="0" collapsed="false">
      <c r="A6" s="4" t="s">
        <v>39</v>
      </c>
      <c r="B6" s="4" t="s">
        <v>40</v>
      </c>
      <c r="C6" s="4" t="s">
        <v>34</v>
      </c>
      <c r="D6" s="5" t="n">
        <v>22.55</v>
      </c>
      <c r="E6" s="4"/>
      <c r="F6" s="4" t="s">
        <v>36</v>
      </c>
      <c r="G6" s="4" t="s">
        <v>37</v>
      </c>
      <c r="H6" s="6" t="s">
        <v>38</v>
      </c>
    </row>
    <row r="7" customFormat="false" ht="15" hidden="false" customHeight="false" outlineLevel="0" collapsed="false">
      <c r="A7" s="4" t="s">
        <v>41</v>
      </c>
      <c r="B7" s="4" t="s">
        <v>42</v>
      </c>
      <c r="C7" s="4" t="s">
        <v>34</v>
      </c>
      <c r="D7" s="5" t="n">
        <v>3628</v>
      </c>
      <c r="E7" s="4"/>
      <c r="F7" s="4" t="s">
        <v>36</v>
      </c>
      <c r="G7" s="4" t="s">
        <v>37</v>
      </c>
      <c r="H7" s="6" t="s">
        <v>38</v>
      </c>
    </row>
    <row r="8" customFormat="false" ht="15" hidden="false" customHeight="false" outlineLevel="0" collapsed="false">
      <c r="A8" s="4" t="s">
        <v>43</v>
      </c>
      <c r="B8" s="4" t="s">
        <v>44</v>
      </c>
      <c r="C8" s="4" t="s">
        <v>34</v>
      </c>
      <c r="D8" s="5" t="n">
        <v>71.94</v>
      </c>
      <c r="E8" s="4"/>
      <c r="F8" s="4" t="s">
        <v>36</v>
      </c>
      <c r="G8" s="4" t="s">
        <v>37</v>
      </c>
      <c r="H8" s="6" t="s">
        <v>38</v>
      </c>
    </row>
    <row r="9" customFormat="false" ht="15" hidden="false" customHeight="false" outlineLevel="0" collapsed="false">
      <c r="A9" s="4" t="s">
        <v>45</v>
      </c>
      <c r="B9" s="4" t="s">
        <v>46</v>
      </c>
      <c r="C9" s="4" t="s">
        <v>34</v>
      </c>
      <c r="D9" s="5" t="n">
        <v>230</v>
      </c>
      <c r="E9" s="4"/>
      <c r="F9" s="4" t="s">
        <v>36</v>
      </c>
      <c r="G9" s="4" t="s">
        <v>37</v>
      </c>
      <c r="H9" s="6" t="s">
        <v>38</v>
      </c>
    </row>
    <row r="10" customFormat="false" ht="15" hidden="false" customHeight="false" outlineLevel="0" collapsed="false">
      <c r="A10" s="4" t="s">
        <v>47</v>
      </c>
      <c r="B10" s="4" t="s">
        <v>48</v>
      </c>
      <c r="C10" s="4" t="s">
        <v>34</v>
      </c>
      <c r="D10" s="5" t="n">
        <v>990</v>
      </c>
      <c r="E10" s="4"/>
      <c r="F10" s="4" t="s">
        <v>49</v>
      </c>
      <c r="G10" s="4" t="s">
        <v>37</v>
      </c>
      <c r="H10" s="6" t="s">
        <v>50</v>
      </c>
    </row>
    <row r="11" customFormat="false" ht="15" hidden="false" customHeight="false" outlineLevel="0" collapsed="false">
      <c r="A11" s="4" t="s">
        <v>51</v>
      </c>
      <c r="B11" s="4" t="s">
        <v>52</v>
      </c>
      <c r="C11" s="4" t="s">
        <v>34</v>
      </c>
      <c r="D11" s="5" t="n">
        <v>1442</v>
      </c>
      <c r="E11" s="4"/>
      <c r="F11" s="4" t="s">
        <v>49</v>
      </c>
      <c r="G11" s="4" t="s">
        <v>37</v>
      </c>
      <c r="H11" s="6" t="s">
        <v>50</v>
      </c>
    </row>
    <row r="12" customFormat="false" ht="15" hidden="false" customHeight="false" outlineLevel="0" collapsed="false">
      <c r="A12" s="4" t="s">
        <v>53</v>
      </c>
      <c r="B12" s="4" t="s">
        <v>54</v>
      </c>
      <c r="C12" s="4" t="s">
        <v>55</v>
      </c>
      <c r="D12" s="5" t="n">
        <v>83.8</v>
      </c>
      <c r="E12" s="4"/>
      <c r="F12" s="4" t="s">
        <v>56</v>
      </c>
      <c r="G12" s="4" t="s">
        <v>57</v>
      </c>
      <c r="H12" s="6" t="s">
        <v>58</v>
      </c>
    </row>
    <row r="13" customFormat="false" ht="15" hidden="false" customHeight="false" outlineLevel="0" collapsed="false">
      <c r="A13" s="4" t="s">
        <v>59</v>
      </c>
      <c r="B13" s="4" t="s">
        <v>60</v>
      </c>
      <c r="C13" s="4" t="s">
        <v>55</v>
      </c>
      <c r="D13" s="5" t="n">
        <v>96.6</v>
      </c>
      <c r="E13" s="4"/>
      <c r="F13" s="4" t="s">
        <v>56</v>
      </c>
      <c r="G13" s="4" t="s">
        <v>57</v>
      </c>
      <c r="H13" s="6" t="s">
        <v>58</v>
      </c>
    </row>
    <row r="14" customFormat="false" ht="15" hidden="false" customHeight="false" outlineLevel="0" collapsed="false">
      <c r="A14" s="4" t="s">
        <v>61</v>
      </c>
      <c r="B14" s="4" t="s">
        <v>62</v>
      </c>
      <c r="C14" s="4" t="s">
        <v>55</v>
      </c>
      <c r="D14" s="5" t="n">
        <v>41.2</v>
      </c>
      <c r="E14" s="4"/>
      <c r="F14" s="4" t="s">
        <v>56</v>
      </c>
      <c r="G14" s="4" t="s">
        <v>57</v>
      </c>
      <c r="H14" s="6" t="s">
        <v>58</v>
      </c>
    </row>
    <row r="15" customFormat="false" ht="15" hidden="false" customHeight="false" outlineLevel="0" collapsed="false">
      <c r="A15" s="4" t="s">
        <v>63</v>
      </c>
      <c r="B15" s="4" t="s">
        <v>64</v>
      </c>
      <c r="C15" s="4" t="s">
        <v>65</v>
      </c>
      <c r="D15" s="5" t="n">
        <v>137999</v>
      </c>
      <c r="E15" s="4" t="s">
        <v>66</v>
      </c>
      <c r="F15" s="4" t="s">
        <v>67</v>
      </c>
      <c r="G15" s="4" t="s">
        <v>20</v>
      </c>
      <c r="H15" s="6" t="s">
        <v>68</v>
      </c>
    </row>
    <row r="16" customFormat="false" ht="15" hidden="false" customHeight="false" outlineLevel="0" collapsed="false">
      <c r="A16" s="4" t="s">
        <v>69</v>
      </c>
      <c r="B16" s="4" t="s">
        <v>70</v>
      </c>
      <c r="C16" s="4" t="s">
        <v>65</v>
      </c>
      <c r="D16" s="5" t="n">
        <v>149999</v>
      </c>
      <c r="E16" s="4" t="s">
        <v>66</v>
      </c>
      <c r="F16" s="4" t="s">
        <v>67</v>
      </c>
      <c r="G16" s="4" t="s">
        <v>20</v>
      </c>
      <c r="H16" s="6" t="s">
        <v>68</v>
      </c>
    </row>
    <row r="17" customFormat="false" ht="15" hidden="false" customHeight="false" outlineLevel="0" collapsed="false">
      <c r="A17" s="4" t="s">
        <v>71</v>
      </c>
      <c r="B17" s="4" t="s">
        <v>72</v>
      </c>
      <c r="C17" s="4" t="s">
        <v>65</v>
      </c>
      <c r="D17" s="5" t="n">
        <v>255999</v>
      </c>
      <c r="E17" s="4" t="s">
        <v>66</v>
      </c>
      <c r="F17" s="4" t="s">
        <v>67</v>
      </c>
      <c r="G17" s="4" t="s">
        <v>20</v>
      </c>
      <c r="H17" s="6" t="s">
        <v>68</v>
      </c>
    </row>
    <row r="18" customFormat="false" ht="15" hidden="false" customHeight="false" outlineLevel="0" collapsed="false">
      <c r="A18" s="4" t="s">
        <v>73</v>
      </c>
      <c r="B18" s="4" t="s">
        <v>74</v>
      </c>
      <c r="C18" s="4" t="s">
        <v>65</v>
      </c>
      <c r="D18" s="5" t="n">
        <v>229999</v>
      </c>
      <c r="E18" s="4" t="s">
        <v>66</v>
      </c>
      <c r="F18" s="4" t="s">
        <v>67</v>
      </c>
      <c r="G18" s="4" t="s">
        <v>20</v>
      </c>
      <c r="H18" s="6" t="s">
        <v>68</v>
      </c>
    </row>
    <row r="19" customFormat="false" ht="15" hidden="false" customHeight="false" outlineLevel="0" collapsed="false">
      <c r="A19" s="4" t="s">
        <v>75</v>
      </c>
      <c r="B19" s="4" t="s">
        <v>76</v>
      </c>
      <c r="C19" s="4" t="s">
        <v>65</v>
      </c>
      <c r="D19" s="5" t="n">
        <v>84999</v>
      </c>
      <c r="E19" s="4" t="s">
        <v>77</v>
      </c>
      <c r="F19" s="4" t="s">
        <v>78</v>
      </c>
      <c r="G19" s="4" t="s">
        <v>20</v>
      </c>
      <c r="H19" s="6" t="s">
        <v>79</v>
      </c>
    </row>
    <row r="20" customFormat="false" ht="15" hidden="false" customHeight="false" outlineLevel="0" collapsed="false">
      <c r="A20" s="4" t="s">
        <v>80</v>
      </c>
      <c r="B20" s="4" t="s">
        <v>81</v>
      </c>
      <c r="C20" s="4" t="s">
        <v>65</v>
      </c>
      <c r="D20" s="5" t="n">
        <v>15499</v>
      </c>
      <c r="E20" s="4" t="s">
        <v>82</v>
      </c>
      <c r="F20" s="4" t="s">
        <v>78</v>
      </c>
      <c r="G20" s="4" t="s">
        <v>20</v>
      </c>
      <c r="H20" s="6" t="s">
        <v>79</v>
      </c>
    </row>
    <row r="21" customFormat="false" ht="15" hidden="false" customHeight="false" outlineLevel="0" collapsed="false">
      <c r="A21" s="4" t="s">
        <v>83</v>
      </c>
      <c r="B21" s="4" t="s">
        <v>84</v>
      </c>
      <c r="C21" s="4" t="s">
        <v>65</v>
      </c>
      <c r="D21" s="5" t="n">
        <v>57999</v>
      </c>
      <c r="E21" s="4" t="s">
        <v>85</v>
      </c>
      <c r="F21" s="4" t="s">
        <v>86</v>
      </c>
      <c r="G21" s="4" t="s">
        <v>20</v>
      </c>
      <c r="H21" s="6" t="s">
        <v>87</v>
      </c>
    </row>
    <row r="22" customFormat="false" ht="15" hidden="false" customHeight="false" outlineLevel="0" collapsed="false">
      <c r="A22" s="4" t="s">
        <v>88</v>
      </c>
      <c r="B22" s="4" t="s">
        <v>89</v>
      </c>
      <c r="C22" s="4" t="s">
        <v>65</v>
      </c>
      <c r="D22" s="5" t="n">
        <v>66999</v>
      </c>
      <c r="E22" s="4" t="s">
        <v>85</v>
      </c>
      <c r="F22" s="4" t="s">
        <v>86</v>
      </c>
      <c r="G22" s="4" t="s">
        <v>20</v>
      </c>
      <c r="H22" s="6" t="s">
        <v>87</v>
      </c>
    </row>
    <row r="23" customFormat="false" ht="15" hidden="false" customHeight="false" outlineLevel="0" collapsed="false">
      <c r="A23" s="4" t="s">
        <v>90</v>
      </c>
      <c r="B23" s="4" t="s">
        <v>91</v>
      </c>
      <c r="C23" s="4" t="s">
        <v>92</v>
      </c>
      <c r="D23" s="5" t="n">
        <v>259.99</v>
      </c>
      <c r="E23" s="4"/>
      <c r="F23" s="4" t="s">
        <v>30</v>
      </c>
      <c r="G23" s="4" t="s">
        <v>37</v>
      </c>
      <c r="H23" s="6" t="s">
        <v>93</v>
      </c>
    </row>
    <row r="24" customFormat="false" ht="15" hidden="false" customHeight="false" outlineLevel="0" collapsed="false">
      <c r="A24" s="4" t="s">
        <v>94</v>
      </c>
      <c r="B24" s="4" t="s">
        <v>95</v>
      </c>
      <c r="C24" s="4" t="s">
        <v>92</v>
      </c>
      <c r="D24" s="5" t="n">
        <v>389.99</v>
      </c>
      <c r="E24" s="4"/>
      <c r="F24" s="4" t="s">
        <v>30</v>
      </c>
      <c r="G24" s="4" t="s">
        <v>37</v>
      </c>
      <c r="H24" s="6" t="s">
        <v>93</v>
      </c>
    </row>
    <row r="25" customFormat="false" ht="15" hidden="false" customHeight="false" outlineLevel="0" collapsed="false">
      <c r="A25" s="4" t="s">
        <v>96</v>
      </c>
      <c r="B25" s="4" t="s">
        <v>97</v>
      </c>
      <c r="C25" s="4" t="s">
        <v>92</v>
      </c>
      <c r="D25" s="5" t="n">
        <v>499.99</v>
      </c>
      <c r="E25" s="4"/>
      <c r="F25" s="4" t="s">
        <v>30</v>
      </c>
      <c r="G25" s="4" t="s">
        <v>37</v>
      </c>
      <c r="H25" s="6" t="s">
        <v>93</v>
      </c>
    </row>
    <row r="26" customFormat="false" ht="15" hidden="false" customHeight="false" outlineLevel="0" collapsed="false">
      <c r="A26" s="4" t="s">
        <v>98</v>
      </c>
      <c r="B26" s="4" t="s">
        <v>99</v>
      </c>
      <c r="C26" s="4" t="s">
        <v>92</v>
      </c>
      <c r="D26" s="5" t="n">
        <v>115</v>
      </c>
      <c r="E26" s="4"/>
      <c r="F26" s="4" t="s">
        <v>100</v>
      </c>
      <c r="G26" s="4" t="s">
        <v>37</v>
      </c>
      <c r="H26" s="6" t="s">
        <v>101</v>
      </c>
    </row>
    <row r="27" customFormat="false" ht="15" hidden="false" customHeight="false" outlineLevel="0" collapsed="false">
      <c r="A27" s="4" t="s">
        <v>102</v>
      </c>
      <c r="B27" s="4" t="s">
        <v>103</v>
      </c>
      <c r="C27" s="4" t="s">
        <v>92</v>
      </c>
      <c r="D27" s="5" t="n">
        <v>60</v>
      </c>
      <c r="E27" s="4"/>
      <c r="F27" s="4" t="s">
        <v>100</v>
      </c>
      <c r="G27" s="4" t="s">
        <v>37</v>
      </c>
      <c r="H27" s="6" t="s">
        <v>101</v>
      </c>
    </row>
    <row r="28" customFormat="false" ht="15" hidden="false" customHeight="false" outlineLevel="0" collapsed="false">
      <c r="A28" s="4" t="s">
        <v>104</v>
      </c>
      <c r="B28" s="4" t="s">
        <v>105</v>
      </c>
      <c r="C28" s="4" t="s">
        <v>92</v>
      </c>
      <c r="D28" s="5" t="n">
        <v>199</v>
      </c>
      <c r="E28" s="4"/>
      <c r="F28" s="4" t="s">
        <v>100</v>
      </c>
      <c r="G28" s="4" t="s">
        <v>37</v>
      </c>
      <c r="H28" s="6" t="s">
        <v>101</v>
      </c>
    </row>
    <row r="29" customFormat="false" ht="15" hidden="false" customHeight="false" outlineLevel="0" collapsed="false">
      <c r="A29" s="4" t="s">
        <v>106</v>
      </c>
      <c r="B29" s="4" t="s">
        <v>107</v>
      </c>
      <c r="C29" s="4" t="s">
        <v>108</v>
      </c>
      <c r="D29" s="5" t="n">
        <v>1909048</v>
      </c>
      <c r="E29" s="4" t="s">
        <v>109</v>
      </c>
      <c r="F29" s="4" t="s">
        <v>30</v>
      </c>
      <c r="G29" s="4" t="s">
        <v>20</v>
      </c>
      <c r="H29" s="6" t="s">
        <v>110</v>
      </c>
    </row>
    <row r="30" customFormat="false" ht="15" hidden="false" customHeight="false" outlineLevel="0" collapsed="false">
      <c r="A30" s="4" t="s">
        <v>111</v>
      </c>
      <c r="B30" s="4" t="s">
        <v>112</v>
      </c>
      <c r="C30" s="4" t="s">
        <v>108</v>
      </c>
      <c r="D30" s="5" t="n">
        <v>1884980</v>
      </c>
      <c r="E30" s="4" t="s">
        <v>109</v>
      </c>
      <c r="F30" s="4" t="s">
        <v>30</v>
      </c>
      <c r="G30" s="4" t="s">
        <v>20</v>
      </c>
      <c r="H30" s="6" t="s">
        <v>110</v>
      </c>
    </row>
    <row r="31" customFormat="false" ht="15" hidden="false" customHeight="false" outlineLevel="0" collapsed="false">
      <c r="A31" s="4" t="s">
        <v>113</v>
      </c>
      <c r="B31" s="4" t="s">
        <v>114</v>
      </c>
      <c r="C31" s="4" t="s">
        <v>108</v>
      </c>
      <c r="D31" s="5" t="n">
        <v>1830000</v>
      </c>
      <c r="E31" s="4" t="s">
        <v>115</v>
      </c>
      <c r="F31" s="4" t="s">
        <v>116</v>
      </c>
      <c r="G31" s="4" t="s">
        <v>20</v>
      </c>
      <c r="H31" s="6" t="s">
        <v>117</v>
      </c>
    </row>
    <row r="32" customFormat="false" ht="15" hidden="false" customHeight="false" outlineLevel="0" collapsed="false">
      <c r="A32" s="4" t="s">
        <v>118</v>
      </c>
      <c r="B32" s="4" t="s">
        <v>119</v>
      </c>
      <c r="C32" s="4" t="s">
        <v>108</v>
      </c>
      <c r="D32" s="5" t="n">
        <v>1865000</v>
      </c>
      <c r="E32" s="4" t="s">
        <v>115</v>
      </c>
      <c r="F32" s="4" t="s">
        <v>116</v>
      </c>
      <c r="G32" s="4" t="s">
        <v>20</v>
      </c>
      <c r="H32" s="6" t="s">
        <v>117</v>
      </c>
    </row>
    <row r="33" customFormat="false" ht="15" hidden="false" customHeight="false" outlineLevel="0" collapsed="false">
      <c r="A33" s="4" t="s">
        <v>120</v>
      </c>
      <c r="B33" s="4" t="s">
        <v>121</v>
      </c>
      <c r="C33" s="4" t="s">
        <v>108</v>
      </c>
      <c r="D33" s="5" t="n">
        <v>2140000</v>
      </c>
      <c r="E33" s="4" t="s">
        <v>115</v>
      </c>
      <c r="F33" s="4" t="s">
        <v>116</v>
      </c>
      <c r="G33" s="4" t="s">
        <v>20</v>
      </c>
      <c r="H33" s="6" t="s">
        <v>117</v>
      </c>
    </row>
    <row r="34" customFormat="false" ht="15" hidden="false" customHeight="false" outlineLevel="0" collapsed="false">
      <c r="A34" s="4" t="s">
        <v>122</v>
      </c>
      <c r="B34" s="4" t="s">
        <v>123</v>
      </c>
      <c r="C34" s="4" t="s">
        <v>108</v>
      </c>
      <c r="D34" s="5" t="n">
        <v>1890900</v>
      </c>
      <c r="E34" s="4" t="s">
        <v>124</v>
      </c>
      <c r="F34" s="4" t="s">
        <v>30</v>
      </c>
      <c r="G34" s="4" t="s">
        <v>20</v>
      </c>
      <c r="H34" s="6" t="s">
        <v>125</v>
      </c>
    </row>
    <row r="35" customFormat="false" ht="15" hidden="false" customHeight="false" outlineLevel="0" collapsed="false">
      <c r="A35" s="4" t="s">
        <v>126</v>
      </c>
      <c r="B35" s="4" t="s">
        <v>127</v>
      </c>
      <c r="C35" s="4" t="s">
        <v>108</v>
      </c>
      <c r="D35" s="5" t="n">
        <v>1584900</v>
      </c>
      <c r="E35" s="4" t="s">
        <v>124</v>
      </c>
      <c r="F35" s="4" t="s">
        <v>30</v>
      </c>
      <c r="G35" s="4" t="s">
        <v>20</v>
      </c>
      <c r="H35" s="6" t="s">
        <v>125</v>
      </c>
    </row>
    <row r="36" customFormat="false" ht="15" hidden="false" customHeight="false" outlineLevel="0" collapsed="false">
      <c r="A36" s="4" t="s">
        <v>128</v>
      </c>
      <c r="B36" s="4" t="s">
        <v>129</v>
      </c>
      <c r="C36" s="4" t="s">
        <v>108</v>
      </c>
      <c r="D36" s="5" t="n">
        <v>2379900</v>
      </c>
      <c r="E36" s="4" t="s">
        <v>115</v>
      </c>
      <c r="F36" s="4" t="s">
        <v>30</v>
      </c>
      <c r="G36" s="4" t="s">
        <v>20</v>
      </c>
      <c r="H36" s="6" t="s">
        <v>125</v>
      </c>
    </row>
    <row r="37" customFormat="false" ht="15" hidden="false" customHeight="false" outlineLevel="0" collapsed="false">
      <c r="A37" s="4" t="s">
        <v>130</v>
      </c>
      <c r="B37" s="4" t="s">
        <v>131</v>
      </c>
      <c r="C37" s="4" t="s">
        <v>132</v>
      </c>
      <c r="D37" s="5" t="n">
        <v>65100</v>
      </c>
      <c r="E37" s="4" t="s">
        <v>133</v>
      </c>
      <c r="F37" s="4" t="s">
        <v>67</v>
      </c>
      <c r="G37" s="4" t="s">
        <v>20</v>
      </c>
      <c r="H37" s="6" t="s">
        <v>134</v>
      </c>
    </row>
    <row r="38" customFormat="false" ht="15" hidden="false" customHeight="false" outlineLevel="0" collapsed="false">
      <c r="A38" s="4" t="s">
        <v>135</v>
      </c>
      <c r="B38" s="4" t="s">
        <v>136</v>
      </c>
      <c r="C38" s="4" t="s">
        <v>132</v>
      </c>
      <c r="D38" s="5" t="n">
        <v>59200</v>
      </c>
      <c r="E38" s="4" t="s">
        <v>133</v>
      </c>
      <c r="F38" s="4" t="s">
        <v>67</v>
      </c>
      <c r="G38" s="4" t="s">
        <v>20</v>
      </c>
      <c r="H38" s="6" t="s">
        <v>134</v>
      </c>
    </row>
    <row r="39" customFormat="false" ht="15" hidden="false" customHeight="false" outlineLevel="0" collapsed="false">
      <c r="A39" s="4" t="s">
        <v>137</v>
      </c>
      <c r="B39" s="4" t="s">
        <v>138</v>
      </c>
      <c r="C39" s="4" t="s">
        <v>132</v>
      </c>
      <c r="D39" s="5" t="n">
        <v>59100</v>
      </c>
      <c r="E39" s="4" t="s">
        <v>133</v>
      </c>
      <c r="F39" s="4" t="s">
        <v>67</v>
      </c>
      <c r="G39" s="4" t="s">
        <v>20</v>
      </c>
      <c r="H39" s="6" t="s">
        <v>134</v>
      </c>
    </row>
    <row r="40" customFormat="false" ht="15" hidden="false" customHeight="false" outlineLevel="0" collapsed="false">
      <c r="A40" s="4" t="s">
        <v>139</v>
      </c>
      <c r="B40" s="4" t="s">
        <v>140</v>
      </c>
      <c r="C40" s="4" t="s">
        <v>132</v>
      </c>
      <c r="D40" s="5" t="n">
        <v>22800</v>
      </c>
      <c r="E40" s="4" t="s">
        <v>133</v>
      </c>
      <c r="F40" s="4" t="s">
        <v>67</v>
      </c>
      <c r="G40" s="4" t="s">
        <v>20</v>
      </c>
      <c r="H40" s="6" t="s">
        <v>134</v>
      </c>
    </row>
    <row r="41" customFormat="false" ht="15" hidden="false" customHeight="false" outlineLevel="0" collapsed="false">
      <c r="A41" s="4" t="s">
        <v>141</v>
      </c>
      <c r="B41" s="4" t="s">
        <v>142</v>
      </c>
      <c r="C41" s="4" t="s">
        <v>132</v>
      </c>
      <c r="D41" s="5" t="n">
        <v>57100</v>
      </c>
      <c r="E41" s="4" t="s">
        <v>133</v>
      </c>
      <c r="F41" s="4" t="s">
        <v>67</v>
      </c>
      <c r="G41" s="4" t="s">
        <v>20</v>
      </c>
      <c r="H41" s="6" t="s">
        <v>134</v>
      </c>
    </row>
    <row r="42" customFormat="false" ht="15" hidden="false" customHeight="false" outlineLevel="0" collapsed="false">
      <c r="A42" s="4" t="s">
        <v>143</v>
      </c>
      <c r="B42" s="4" t="s">
        <v>144</v>
      </c>
      <c r="C42" s="4" t="s">
        <v>145</v>
      </c>
      <c r="D42" s="5" t="n">
        <v>6586.31</v>
      </c>
      <c r="E42" s="4" t="s">
        <v>146</v>
      </c>
      <c r="F42" s="4" t="s">
        <v>147</v>
      </c>
      <c r="G42" s="4" t="s">
        <v>148</v>
      </c>
      <c r="H42" s="6" t="s">
        <v>149</v>
      </c>
    </row>
    <row r="43" customFormat="false" ht="15" hidden="false" customHeight="false" outlineLevel="0" collapsed="false">
      <c r="A43" s="4" t="s">
        <v>150</v>
      </c>
      <c r="B43" s="4" t="s">
        <v>151</v>
      </c>
      <c r="C43" s="4" t="s">
        <v>145</v>
      </c>
      <c r="D43" s="5" t="n">
        <v>10737</v>
      </c>
      <c r="E43" s="4" t="s">
        <v>152</v>
      </c>
      <c r="F43" s="4" t="s">
        <v>147</v>
      </c>
      <c r="G43" s="4" t="s">
        <v>148</v>
      </c>
      <c r="H43" s="6" t="s">
        <v>153</v>
      </c>
    </row>
    <row r="44" customFormat="false" ht="15" hidden="false" customHeight="false" outlineLevel="0" collapsed="false">
      <c r="A44" s="4" t="s">
        <v>154</v>
      </c>
      <c r="B44" s="4" t="s">
        <v>155</v>
      </c>
      <c r="C44" s="4" t="s">
        <v>145</v>
      </c>
      <c r="D44" s="5" t="n">
        <v>42812</v>
      </c>
      <c r="E44" s="4" t="s">
        <v>152</v>
      </c>
      <c r="F44" s="4" t="s">
        <v>147</v>
      </c>
      <c r="G44" s="4" t="s">
        <v>148</v>
      </c>
      <c r="H44" s="6" t="s">
        <v>153</v>
      </c>
    </row>
    <row r="45" customFormat="false" ht="15" hidden="false" customHeight="false" outlineLevel="0" collapsed="false">
      <c r="A45" s="4" t="s">
        <v>156</v>
      </c>
      <c r="B45" s="4" t="s">
        <v>157</v>
      </c>
      <c r="C45" s="4" t="s">
        <v>145</v>
      </c>
      <c r="D45" s="5" t="n">
        <v>49.57</v>
      </c>
      <c r="E45" s="4"/>
      <c r="F45" s="4" t="s">
        <v>147</v>
      </c>
      <c r="G45" s="4" t="s">
        <v>148</v>
      </c>
      <c r="H45" s="6" t="s">
        <v>158</v>
      </c>
    </row>
    <row r="46" customFormat="false" ht="15" hidden="false" customHeight="false" outlineLevel="0" collapsed="false">
      <c r="A46" s="4" t="s">
        <v>159</v>
      </c>
      <c r="B46" s="4" t="s">
        <v>160</v>
      </c>
      <c r="C46" s="4" t="s">
        <v>145</v>
      </c>
      <c r="D46" s="5" t="n">
        <v>55.72</v>
      </c>
      <c r="E46" s="4"/>
      <c r="F46" s="4" t="s">
        <v>147</v>
      </c>
      <c r="G46" s="4" t="s">
        <v>148</v>
      </c>
      <c r="H46" s="6" t="s">
        <v>158</v>
      </c>
    </row>
    <row r="47" customFormat="false" ht="15" hidden="false" customHeight="false" outlineLevel="0" collapsed="false">
      <c r="A47" s="4" t="s">
        <v>161</v>
      </c>
      <c r="B47" s="4" t="s">
        <v>162</v>
      </c>
      <c r="C47" s="4" t="s">
        <v>145</v>
      </c>
      <c r="D47" s="5" t="n">
        <v>28075.5</v>
      </c>
      <c r="E47" s="4" t="s">
        <v>163</v>
      </c>
      <c r="F47" s="4" t="s">
        <v>164</v>
      </c>
      <c r="G47" s="4" t="s">
        <v>165</v>
      </c>
      <c r="H47" s="6" t="s">
        <v>166</v>
      </c>
    </row>
    <row r="48" customFormat="false" ht="15" hidden="false" customHeight="false" outlineLevel="0" collapsed="false">
      <c r="A48" s="4" t="s">
        <v>167</v>
      </c>
      <c r="B48" s="4" t="s">
        <v>168</v>
      </c>
      <c r="C48" s="4" t="s">
        <v>169</v>
      </c>
      <c r="D48" s="7" t="n">
        <f aca="false">50*D12</f>
        <v>4190</v>
      </c>
      <c r="E48" s="4" t="s">
        <v>170</v>
      </c>
      <c r="F48" s="4" t="s">
        <v>171</v>
      </c>
      <c r="G48" s="4" t="s">
        <v>172</v>
      </c>
      <c r="H48" s="4"/>
    </row>
    <row r="49" customFormat="false" ht="15" hidden="false" customHeight="false" outlineLevel="0" collapsed="false">
      <c r="A49" s="4" t="s">
        <v>173</v>
      </c>
      <c r="B49" s="4" t="s">
        <v>174</v>
      </c>
      <c r="C49" s="4" t="s">
        <v>169</v>
      </c>
      <c r="D49" s="7" t="n">
        <f aca="false">12*D25</f>
        <v>5999.88</v>
      </c>
      <c r="E49" s="4" t="s">
        <v>175</v>
      </c>
      <c r="F49" s="4" t="s">
        <v>171</v>
      </c>
      <c r="G49" s="4" t="s">
        <v>172</v>
      </c>
      <c r="H49" s="4"/>
    </row>
    <row r="50" customFormat="false" ht="15" hidden="false" customHeight="false" outlineLevel="0" collapsed="false">
      <c r="A50" s="4" t="s">
        <v>176</v>
      </c>
      <c r="B50" s="4" t="s">
        <v>177</v>
      </c>
      <c r="C50" s="4" t="s">
        <v>169</v>
      </c>
      <c r="D50" s="7" t="n">
        <f aca="false">12*D26</f>
        <v>1380</v>
      </c>
      <c r="E50" s="4" t="s">
        <v>175</v>
      </c>
      <c r="F50" s="4" t="s">
        <v>171</v>
      </c>
      <c r="G50" s="4" t="s">
        <v>172</v>
      </c>
      <c r="H50" s="4"/>
    </row>
    <row r="51" customFormat="false" ht="15" hidden="false" customHeight="false" outlineLevel="0" collapsed="false">
      <c r="A51" s="4" t="s">
        <v>178</v>
      </c>
      <c r="B51" s="4" t="s">
        <v>179</v>
      </c>
      <c r="C51" s="4" t="s">
        <v>169</v>
      </c>
      <c r="D51" s="7" t="n">
        <f aca="false">12*D7</f>
        <v>43536</v>
      </c>
      <c r="E51" s="4" t="s">
        <v>175</v>
      </c>
      <c r="F51" s="4" t="s">
        <v>171</v>
      </c>
      <c r="G51" s="4" t="s">
        <v>172</v>
      </c>
      <c r="H51" s="4"/>
    </row>
    <row r="52" customFormat="false" ht="15" hidden="false" customHeight="false" outlineLevel="0" collapsed="false">
      <c r="A52" s="4" t="s">
        <v>180</v>
      </c>
      <c r="B52" s="4" t="s">
        <v>181</v>
      </c>
      <c r="C52" s="4" t="s">
        <v>169</v>
      </c>
      <c r="D52" s="7" t="n">
        <f aca="false">12*D40</f>
        <v>273600</v>
      </c>
      <c r="E52" s="4" t="s">
        <v>175</v>
      </c>
      <c r="F52" s="4" t="s">
        <v>171</v>
      </c>
      <c r="G52" s="4" t="s">
        <v>172</v>
      </c>
      <c r="H52" s="4"/>
    </row>
    <row r="53" customFormat="false" ht="15" hidden="false" customHeight="false" outlineLevel="0" collapsed="false">
      <c r="A53" s="4" t="s">
        <v>182</v>
      </c>
      <c r="B53" s="4" t="s">
        <v>183</v>
      </c>
      <c r="C53" s="4" t="s">
        <v>169</v>
      </c>
      <c r="D53" s="7" t="n">
        <f aca="false">5*D47</f>
        <v>140377.5</v>
      </c>
      <c r="E53" s="4" t="s">
        <v>184</v>
      </c>
      <c r="F53" s="4" t="s">
        <v>171</v>
      </c>
      <c r="G53" s="4" t="s">
        <v>172</v>
      </c>
      <c r="H53" s="4"/>
    </row>
    <row r="54" customFormat="false" ht="15" hidden="false" customHeight="false" outlineLevel="0" collapsed="false">
      <c r="A54" s="4" t="s">
        <v>185</v>
      </c>
      <c r="B54" s="4" t="s">
        <v>186</v>
      </c>
      <c r="C54" s="4" t="s">
        <v>169</v>
      </c>
      <c r="D54" s="7" t="n">
        <f aca="false">5*D5</f>
        <v>231</v>
      </c>
      <c r="E54" s="4" t="s">
        <v>187</v>
      </c>
      <c r="F54" s="4" t="s">
        <v>171</v>
      </c>
      <c r="G54" s="4" t="s">
        <v>172</v>
      </c>
      <c r="H54" s="4"/>
    </row>
    <row r="55" customFormat="false" ht="15" hidden="false" customHeight="false" outlineLevel="0" collapsed="false">
      <c r="A55" s="4" t="s">
        <v>188</v>
      </c>
      <c r="B55" s="4" t="s">
        <v>189</v>
      </c>
      <c r="C55" s="4" t="s">
        <v>169</v>
      </c>
      <c r="D55" s="7" t="n">
        <f aca="false">33*D2</f>
        <v>990</v>
      </c>
      <c r="E55" s="4" t="s">
        <v>190</v>
      </c>
      <c r="F55" s="4" t="s">
        <v>171</v>
      </c>
      <c r="G55" s="4" t="s">
        <v>172</v>
      </c>
      <c r="H55" s="4"/>
    </row>
  </sheetData>
  <autoFilter ref="A1:H55"/>
  <hyperlinks>
    <hyperlink ref="H2" r:id="rId1" display="https://www.politikam.com/istanbulda-simide-zam-geldi-26-eylul-2026-simit-fiyati-kac-tl-oldu"/>
    <hyperlink ref="H3" r:id="rId2" display="https://www.haberturk.com/turkiye-firincilar-federasyonu-duyurdu-ekmege-zam-geldi-istanbul-da-ekmek-fiyatlari-ne-kadar-zam-geldi-mi-3873980"/>
    <hyperlink ref="H4" r:id="rId3" display="https://www.kayserianadoluhaber.com.tr/istanbul-da-kayseri-konya-ve-gaziantep-ornegi-halk-ekmek-te-istanbul-geride-mi-kaldi/200259"/>
    <hyperlink ref="H5" r:id="rId4" display="https://www.gzt.com/ekonomi/istanbul-toplu-tasima-zammi-2026-son-dakika-marmaray-metro-otobus-ve-metrobus-ucreti-ne-kadar-oldu-iett-yeni-ucret-tarifesi-istanbul-ulasim-zammi-ne-zaman-uygulanacak-4242283"/>
    <hyperlink ref="H6" r:id="rId5" display="https://www.gzt.com/ekonomi/istanbul-toplu-tasima-zammi-2026-son-dakika-marmaray-metro-otobus-ve-metrobus-ucreti-ne-kadar-oldu-iett-yeni-ucret-tarifesi-istanbul-ulasim-zammi-ne-zaman-uygulanacak-4242283"/>
    <hyperlink ref="H7" r:id="rId6" display="https://www.gzt.com/ekonomi/istanbul-toplu-tasima-zammi-2026-son-dakika-marmaray-metro-otobus-ve-metrobus-ucreti-ne-kadar-oldu-iett-yeni-ucret-tarifesi-istanbul-ulasim-zammi-ne-zaman-uygulanacak-4242283"/>
    <hyperlink ref="H8" r:id="rId7" display="https://www.gzt.com/ekonomi/istanbul-toplu-tasima-zammi-2026-son-dakika-marmaray-metro-otobus-ve-metrobus-ucreti-ne-kadar-oldu-iett-yeni-ucret-tarifesi-istanbul-ulasim-zammi-ne-zaman-uygulanacak-4242283"/>
    <hyperlink ref="H9" r:id="rId8" display="https://www.gzt.com/ekonomi/istanbul-toplu-tasima-zammi-2026-son-dakika-marmaray-metro-otobus-ve-metrobus-ucreti-ne-kadar-oldu-iett-yeni-ucret-tarifesi-istanbul-ulasim-zammi-ne-zaman-uygulanacak-4242283"/>
    <hyperlink ref="H10" r:id="rId9" display="https://www.bloomberght.com/yht-bilet-fiyatlarina-zam-yapildi-3785720"/>
    <hyperlink ref="H11" r:id="rId10" display="https://www.bloomberght.com/yht-bilet-fiyatlarina-zam-yapildi-3785720"/>
    <hyperlink ref="H12" r:id="rId11" display="https://www.yeniasir.com.tr/ekonomi/2026/10/15/depoyu-doldurmadan-once-bakin-15-ekim-benzin-motorin-ve-lpg-fiyatlari-akaryakita-zam-geldi-mi"/>
    <hyperlink ref="H13" r:id="rId12" display="https://www.yeniasir.com.tr/ekonomi/2026/10/15/depoyu-doldurmadan-once-bakin-15-ekim-benzin-motorin-ve-lpg-fiyatlari-akaryakita-zam-geldi-mi"/>
    <hyperlink ref="H14" r:id="rId13" display="https://www.yeniasir.com.tr/ekonomi/2026/10/15/depoyu-doldurmadan-once-bakin-15-ekim-benzin-motorin-ve-lpg-fiyatlari-akaryakita-zam-geldi-mi"/>
    <hyperlink ref="H15" r:id="rId14" display="https://www.tamindir.com/haber/yeni-iphone-modelleri-turkiye-fiyati_112035/"/>
    <hyperlink ref="H16" r:id="rId15" display="https://www.tamindir.com/haber/yeni-iphone-modelleri-turkiye-fiyati_112035/"/>
    <hyperlink ref="H17" r:id="rId16" display="https://www.tamindir.com/haber/yeni-iphone-modelleri-turkiye-fiyati_112035/"/>
    <hyperlink ref="H18" r:id="rId17" display="https://www.tamindir.com/haber/yeni-iphone-modelleri-turkiye-fiyati_112035/"/>
    <hyperlink ref="H19" r:id="rId18" display="https://www.log.com.tr/apple-turkiye-iphone-17-ailesinin-fiyatlarina-zam-yapti/"/>
    <hyperlink ref="H20" r:id="rId19" display="https://www.log.com.tr/apple-turkiye-iphone-17-ailesinin-fiyatlarina-zam-yapti/"/>
    <hyperlink ref="H21" r:id="rId20" display="https://www.teknoblog.com/oyun-konsolu-satin-alma-rehberi-2026"/>
    <hyperlink ref="H22" r:id="rId21" display="https://www.teknoblog.com/oyun-konsolu-satin-alma-rehberi-2026"/>
    <hyperlink ref="H23" r:id="rId22" display="https://teknoblog.com/netflix-turkiye-fiyatlari-ekim-2026"/>
    <hyperlink ref="H24" r:id="rId23" display="https://teknoblog.com/netflix-turkiye-fiyatlari-ekim-2026"/>
    <hyperlink ref="H25" r:id="rId24" display="https://teknoblog.com/netflix-turkiye-fiyatlari-ekim-2026"/>
    <hyperlink ref="H26" r:id="rId25" display="https://www.dunya.com/sektorler/bilim-ve-teknoloji/spotify-aboneliklerine-zam-geldi-haberi-842318"/>
    <hyperlink ref="H27" r:id="rId26" display="https://www.dunya.com/sektorler/bilim-ve-teknoloji/spotify-aboneliklerine-zam-geldi-haberi-842318"/>
    <hyperlink ref="H28" r:id="rId27" display="https://www.dunya.com/sektorler/bilim-ve-teknoloji/spotify-aboneliklerine-zam-geldi-haberi-842318"/>
    <hyperlink ref="H29" r:id="rId28" display="https://www.milligazete.com.tr/togg-t10f-ve-t10x-ekim-fiyatlari-ne-kadar-2026-togg-guncel-fiyat-listesi"/>
    <hyperlink ref="H30" r:id="rId29" display="https://www.milligazete.com.tr/togg-t10f-ve-t10x-ekim-fiyatlari-ne-kadar-2026-togg-guncel-fiyat-listesi"/>
    <hyperlink ref="H31" r:id="rId30" display="https://www.teknoblog.com/renault-ekim-2026-fiyatlari/"/>
    <hyperlink ref="H32" r:id="rId31" display="https://www.teknoblog.com/renault-ekim-2026-fiyatlari/"/>
    <hyperlink ref="H33" r:id="rId32" display="https://www.teknoblog.com/renault-ekim-2026-fiyatlari/"/>
    <hyperlink ref="H34" r:id="rId33" display="https://www.cnbce.com/otomotiv/fiat-ekim-ayi-fiyat-listesini-acikladi-en-cok-satan-modelde-kampanya-egea-fiyat-listesi-egea-cross-fiyat-listesi-fiat-ekim-fiyat-listesi-h38644"/>
    <hyperlink ref="H35" r:id="rId34" display="https://www.cnbce.com/otomotiv/fiat-ekim-ayi-fiyat-listesini-acikladi-en-cok-satan-modelde-kampanya-egea-fiyat-listesi-egea-cross-fiyat-listesi-fiat-ekim-fiyat-listesi-h38644"/>
    <hyperlink ref="H36" r:id="rId35" display="https://www.cnbce.com/otomotiv/fiat-ekim-ayi-fiyat-listesini-acikladi-en-cok-satan-modelde-kampanya-egea-fiyat-listesi-egea-cross-fiyat-listesi-fiat-ekim-fiyat-listesi-h38644"/>
    <hyperlink ref="H37" r:id="rId36" display="https://www.gazetebirlik.com/ekonomi/istanbulda-ortalama-kira-57-bin-100-tl-oldu-en-pahali-ve-en-ucuz-ilceler-belli-oldu/1091377"/>
    <hyperlink ref="H38" r:id="rId37" display="https://www.gazetebirlik.com/ekonomi/istanbulda-ortalama-kira-57-bin-100-tl-oldu-en-pahali-ve-en-ucuz-ilceler-belli-oldu/1091377"/>
    <hyperlink ref="H39" r:id="rId38" display="https://www.gazetebirlik.com/ekonomi/istanbulda-ortalama-kira-57-bin-100-tl-oldu-en-pahali-ve-en-ucuz-ilceler-belli-oldu/1091377"/>
    <hyperlink ref="H40" r:id="rId39" display="https://www.gazetebirlik.com/ekonomi/istanbulda-ortalama-kira-57-bin-100-tl-oldu-en-pahali-ve-en-ucuz-ilceler-belli-oldu/1091377"/>
    <hyperlink ref="H41" r:id="rId40" display="https://www.gazetebirlik.com/ekonomi/istanbulda-ortalama-kira-57-bin-100-tl-oldu-en-pahali-ve-en-ucuz-ilceler-belli-oldu/1091377"/>
    <hyperlink ref="H42" r:id="rId41" display="https://www.bloomberght.com/gram-altinda-son-durum-ne-20-ekim-2026-sali-altin-fiyatlari-pkh1-3791876"/>
    <hyperlink ref="H43" r:id="rId42" display="https://www.birgun.net/haber/20-ekim-2026-sali-guncel-altin-fiyatlari-741360"/>
    <hyperlink ref="H44" r:id="rId43" display="https://www.birgun.net/haber/20-ekim-2026-sali-guncel-altin-fiyatlari-741360"/>
    <hyperlink ref="H45" r:id="rId44" display="https://www.ekonomist.com.tr/altin/altin-piyasasinda-yon-asagi-dondu-20-ekim-2026-gram-ceyrek-yarim-ve-tam-altin-ne-kadar--80017"/>
    <hyperlink ref="H46" r:id="rId45" display="https://www.ekonomist.com.tr/altin/altin-piyasasinda-yon-asagi-dondu-20-ekim-2026-gram-ceyrek-yarim-ve-tam-altin-ne-kadar--80017"/>
    <hyperlink ref="H47" r:id="rId46" display="https://www.ey.com/tr_tr/insights/tax/2026-asgari-ucre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36"/>
    <col collapsed="false" customWidth="true" hidden="false" outlineLevel="0" max="4" min="4" style="0" width="15"/>
    <col collapsed="false" customWidth="true" hidden="false" outlineLevel="0" max="5" min="5" style="0" width="36"/>
    <col collapsed="false" customWidth="true" hidden="false" outlineLevel="0" max="6" min="6" style="0" width="15"/>
    <col collapsed="false" customWidth="true" hidden="false" outlineLevel="0" max="7" min="7" style="0" width="36"/>
    <col collapsed="false" customWidth="true" hidden="false" outlineLevel="0" max="8" min="8" style="0" width="9"/>
  </cols>
  <sheetData>
    <row r="1" customFormat="false" ht="15" hidden="false" customHeight="false" outlineLevel="0" collapsed="false">
      <c r="A1" s="8" t="s">
        <v>191</v>
      </c>
      <c r="B1" s="8" t="s">
        <v>192</v>
      </c>
      <c r="C1" s="8" t="s">
        <v>193</v>
      </c>
      <c r="D1" s="8" t="s">
        <v>194</v>
      </c>
      <c r="E1" s="8" t="s">
        <v>195</v>
      </c>
      <c r="F1" s="8" t="s">
        <v>196</v>
      </c>
      <c r="G1" s="8" t="s">
        <v>197</v>
      </c>
      <c r="H1" s="8" t="s">
        <v>198</v>
      </c>
    </row>
    <row r="2" customFormat="false" ht="15" hidden="false" customHeight="false" outlineLevel="0" collapsed="false">
      <c r="A2" s="9" t="s">
        <v>47</v>
      </c>
      <c r="B2" s="9" t="s">
        <v>188</v>
      </c>
      <c r="C2" s="4" t="str">
        <f aca="false">IFERROR(INDEX(Ürünler!$B$2:$B$55,MATCH(A2,Ürünler!$A$2:$A$55,0)),"ID yok")</f>
        <v>YHT İstanbul–Ankara (tek yön, ekonomi)</v>
      </c>
      <c r="D2" s="7" t="n">
        <f aca="false">IFERROR(INDEX(Ürünler!$D$2:$D$55,MATCH(A2,Ürünler!$A$2:$A$55,0)),0)</f>
        <v>990</v>
      </c>
      <c r="E2" s="4" t="str">
        <f aca="false">IFERROR(INDEX(Ürünler!$B$2:$B$55,MATCH(B2,Ürünler!$A$2:$A$55,0)),"ID yok")</f>
        <v>33 simit</v>
      </c>
      <c r="F2" s="7" t="n">
        <f aca="false">IFERROR(INDEX(Ürünler!$D$2:$D$55,MATCH(B2,Ürünler!$A$2:$A$55,0)),0)</f>
        <v>990</v>
      </c>
      <c r="G2" s="4" t="str">
        <f aca="false">IF(D2=F2,"Eşit",IF(D2&gt;F2,C2,E2))</f>
        <v>Eşit</v>
      </c>
      <c r="H2" s="10" t="n">
        <f aca="false">IF(MIN(D2,F2)=0,0,ABS(D2-F2)/MIN(D2,F2))</f>
        <v>0</v>
      </c>
    </row>
    <row r="3" customFormat="false" ht="15" hidden="false" customHeight="false" outlineLevel="0" collapsed="false">
      <c r="A3" s="9" t="s">
        <v>45</v>
      </c>
      <c r="B3" s="9" t="s">
        <v>185</v>
      </c>
      <c r="C3" s="4" t="str">
        <f aca="false">IFERROR(INDEX(Ürünler!$B$2:$B$55,MATCH(A3,Ürünler!$A$2:$A$55,0)),"ID yok")</f>
        <v>Taksi kısa mesafe ücreti (İstanbul)</v>
      </c>
      <c r="D3" s="7" t="n">
        <f aca="false">IFERROR(INDEX(Ürünler!$D$2:$D$55,MATCH(A3,Ürünler!$A$2:$A$55,0)),0)</f>
        <v>230</v>
      </c>
      <c r="E3" s="4" t="str">
        <f aca="false">IFERROR(INDEX(Ürünler!$B$2:$B$55,MATCH(B3,Ürünler!$A$2:$A$55,0)),"ID yok")</f>
        <v>5 İstanbulkart tam biniş</v>
      </c>
      <c r="F3" s="7" t="n">
        <f aca="false">IFERROR(INDEX(Ürünler!$D$2:$D$55,MATCH(B3,Ürünler!$A$2:$A$55,0)),0)</f>
        <v>231</v>
      </c>
      <c r="G3" s="4" t="str">
        <f aca="false">IF(D3=F3,"Eşit",IF(D3&gt;F3,C3,E3))</f>
        <v>5 İstanbulkart tam biniş</v>
      </c>
      <c r="H3" s="10" t="n">
        <f aca="false">IF(MIN(D3,F3)=0,0,ABS(D3-F3)/MIN(D3,F3))</f>
        <v>0.00434782608695652</v>
      </c>
    </row>
    <row r="4" customFormat="false" ht="15" hidden="false" customHeight="false" outlineLevel="0" collapsed="false">
      <c r="A4" s="9" t="s">
        <v>176</v>
      </c>
      <c r="B4" s="9" t="s">
        <v>51</v>
      </c>
      <c r="C4" s="4" t="str">
        <f aca="false">IFERROR(INDEX(Ürünler!$B$2:$B$55,MATCH(A4,Ürünler!$A$2:$A$55,0)),"ID yok")</f>
        <v>Spotify Bireysel 1 yıl</v>
      </c>
      <c r="D4" s="7" t="n">
        <f aca="false">IFERROR(INDEX(Ürünler!$D$2:$D$55,MATCH(A4,Ürünler!$A$2:$A$55,0)),0)</f>
        <v>1380</v>
      </c>
      <c r="E4" s="4" t="str">
        <f aca="false">IFERROR(INDEX(Ürünler!$B$2:$B$55,MATCH(B4,Ürünler!$A$2:$A$55,0)),"ID yok")</f>
        <v>YHT İstanbul–Konya (tek yön, ekonomi)</v>
      </c>
      <c r="F4" s="7" t="n">
        <f aca="false">IFERROR(INDEX(Ürünler!$D$2:$D$55,MATCH(B4,Ürünler!$A$2:$A$55,0)),0)</f>
        <v>1442</v>
      </c>
      <c r="G4" s="4" t="str">
        <f aca="false">IF(D4=F4,"Eşit",IF(D4&gt;F4,C4,E4))</f>
        <v>YHT İstanbul–Konya (tek yön, ekonomi)</v>
      </c>
      <c r="H4" s="10" t="n">
        <f aca="false">IF(MIN(D4,F4)=0,0,ABS(D4-F4)/MIN(D4,F4))</f>
        <v>0.0449275362318841</v>
      </c>
    </row>
    <row r="5" customFormat="false" ht="15" hidden="false" customHeight="false" outlineLevel="0" collapsed="false">
      <c r="A5" s="9" t="s">
        <v>71</v>
      </c>
      <c r="B5" s="9" t="s">
        <v>180</v>
      </c>
      <c r="C5" s="4" t="str">
        <f aca="false">IFERROR(INDEX(Ürünler!$B$2:$B$55,MATCH(A5,Ürünler!$A$2:$A$55,0)),"ID yok")</f>
        <v>iPhone 18 Pro Max 2 TB</v>
      </c>
      <c r="D5" s="7" t="n">
        <f aca="false">IFERROR(INDEX(Ürünler!$D$2:$D$55,MATCH(A5,Ürünler!$A$2:$A$55,0)),0)</f>
        <v>255999</v>
      </c>
      <c r="E5" s="4" t="str">
        <f aca="false">IFERROR(INDEX(Ürünler!$B$2:$B$55,MATCH(B5,Ürünler!$A$2:$A$55,0)),"ID yok")</f>
        <v>Esenyurt 100 m² 1 yıllık kira</v>
      </c>
      <c r="F5" s="7" t="n">
        <f aca="false">IFERROR(INDEX(Ürünler!$D$2:$D$55,MATCH(B5,Ürünler!$A$2:$A$55,0)),0)</f>
        <v>273600</v>
      </c>
      <c r="G5" s="4" t="str">
        <f aca="false">IF(D5=F5,"Eşit",IF(D5&gt;F5,C5,E5))</f>
        <v>Esenyurt 100 m² 1 yıllık kira</v>
      </c>
      <c r="H5" s="10" t="n">
        <f aca="false">IF(MIN(D5,F5)=0,0,ABS(D5-F5)/MIN(D5,F5))</f>
        <v>0.0687541748209954</v>
      </c>
    </row>
    <row r="6" customFormat="false" ht="15" hidden="false" customHeight="false" outlineLevel="0" collapsed="false">
      <c r="A6" s="9" t="s">
        <v>178</v>
      </c>
      <c r="B6" s="9" t="s">
        <v>154</v>
      </c>
      <c r="C6" s="4" t="str">
        <f aca="false">IFERROR(INDEX(Ürünler!$B$2:$B$55,MATCH(A6,Ürünler!$A$2:$A$55,0)),"ID yok")</f>
        <v>Mavi Kart 1 yıl</v>
      </c>
      <c r="D6" s="7" t="n">
        <f aca="false">IFERROR(INDEX(Ürünler!$D$2:$D$55,MATCH(A6,Ürünler!$A$2:$A$55,0)),0)</f>
        <v>43536</v>
      </c>
      <c r="E6" s="4" t="str">
        <f aca="false">IFERROR(INDEX(Ürünler!$B$2:$B$55,MATCH(B6,Ürünler!$A$2:$A$55,0)),"ID yok")</f>
        <v>Cumhuriyet altını</v>
      </c>
      <c r="F6" s="7" t="n">
        <f aca="false">IFERROR(INDEX(Ürünler!$D$2:$D$55,MATCH(B6,Ürünler!$A$2:$A$55,0)),0)</f>
        <v>42812</v>
      </c>
      <c r="G6" s="4" t="str">
        <f aca="false">IF(D6=F6,"Eşit",IF(D6&gt;F6,C6,E6))</f>
        <v>Mavi Kart 1 yıl</v>
      </c>
      <c r="H6" s="10" t="n">
        <f aca="false">IF(MIN(D6,F6)=0,0,ABS(D6-F6)/MIN(D6,F6))</f>
        <v>0.0169111464075493</v>
      </c>
    </row>
    <row r="7" customFormat="false" ht="15" hidden="false" customHeight="false" outlineLevel="0" collapsed="false">
      <c r="A7" s="9" t="s">
        <v>63</v>
      </c>
      <c r="B7" s="9" t="s">
        <v>182</v>
      </c>
      <c r="C7" s="4" t="str">
        <f aca="false">IFERROR(INDEX(Ürünler!$B$2:$B$55,MATCH(A7,Ürünler!$A$2:$A$55,0)),"ID yok")</f>
        <v>iPhone 18 Pro 256 GB</v>
      </c>
      <c r="D7" s="7" t="n">
        <f aca="false">IFERROR(INDEX(Ürünler!$D$2:$D$55,MATCH(A7,Ürünler!$A$2:$A$55,0)),0)</f>
        <v>137999</v>
      </c>
      <c r="E7" s="4" t="str">
        <f aca="false">IFERROR(INDEX(Ürünler!$B$2:$B$55,MATCH(B7,Ürünler!$A$2:$A$55,0)),"ID yok")</f>
        <v>5 aylık net asgari ücret</v>
      </c>
      <c r="F7" s="7" t="n">
        <f aca="false">IFERROR(INDEX(Ürünler!$D$2:$D$55,MATCH(B7,Ürünler!$A$2:$A$55,0)),0)</f>
        <v>140377.5</v>
      </c>
      <c r="G7" s="4" t="str">
        <f aca="false">IF(D7=F7,"Eşit",IF(D7&gt;F7,C7,E7))</f>
        <v>5 aylık net asgari ücret</v>
      </c>
      <c r="H7" s="10" t="n">
        <f aca="false">IF(MIN(D7,F7)=0,0,ABS(D7-F7)/MIN(D7,F7))</f>
        <v>0.0172356321422619</v>
      </c>
    </row>
    <row r="8" customFormat="false" ht="15" hidden="false" customHeight="false" outlineLevel="0" collapsed="false">
      <c r="A8" s="9" t="s">
        <v>83</v>
      </c>
      <c r="B8" s="9" t="s">
        <v>130</v>
      </c>
      <c r="C8" s="4" t="str">
        <f aca="false">IFERROR(INDEX(Ürünler!$B$2:$B$55,MATCH(A8,Ürünler!$A$2:$A$55,0)),"ID yok")</f>
        <v>PS5 Digital</v>
      </c>
      <c r="D8" s="7" t="n">
        <f aca="false">IFERROR(INDEX(Ürünler!$D$2:$D$55,MATCH(A8,Ürünler!$A$2:$A$55,0)),0)</f>
        <v>57999</v>
      </c>
      <c r="E8" s="4" t="str">
        <f aca="false">IFERROR(INDEX(Ürünler!$B$2:$B$55,MATCH(B8,Ürünler!$A$2:$A$55,0)),"ID yok")</f>
        <v>Kadıköy 100 m² aylık kira</v>
      </c>
      <c r="F8" s="7" t="n">
        <f aca="false">IFERROR(INDEX(Ürünler!$D$2:$D$55,MATCH(B8,Ürünler!$A$2:$A$55,0)),0)</f>
        <v>65100</v>
      </c>
      <c r="G8" s="4" t="str">
        <f aca="false">IF(D8=F8,"Eşit",IF(D8&gt;F8,C8,E8))</f>
        <v>Kadıköy 100 m² aylık kira</v>
      </c>
      <c r="H8" s="10" t="n">
        <f aca="false">IF(MIN(D8,F8)=0,0,ABS(D8-F8)/MIN(D8,F8))</f>
        <v>0.122433145399059</v>
      </c>
    </row>
    <row r="9" customFormat="false" ht="15" hidden="false" customHeight="false" outlineLevel="0" collapsed="false">
      <c r="A9" s="9" t="s">
        <v>41</v>
      </c>
      <c r="B9" s="9" t="s">
        <v>167</v>
      </c>
      <c r="C9" s="4" t="str">
        <f aca="false">IFERROR(INDEX(Ürünler!$B$2:$B$55,MATCH(A9,Ürünler!$A$2:$A$55,0)),"ID yok")</f>
        <v>Mavi Kart (aylık tam abonman)</v>
      </c>
      <c r="D9" s="7" t="n">
        <f aca="false">IFERROR(INDEX(Ürünler!$D$2:$D$55,MATCH(A9,Ürünler!$A$2:$A$55,0)),0)</f>
        <v>3628</v>
      </c>
      <c r="E9" s="4" t="str">
        <f aca="false">IFERROR(INDEX(Ürünler!$B$2:$B$55,MATCH(B9,Ürünler!$A$2:$A$55,0)),"ID yok")</f>
        <v>50 litrelik benzin deposu</v>
      </c>
      <c r="F9" s="7" t="n">
        <f aca="false">IFERROR(INDEX(Ürünler!$D$2:$D$55,MATCH(B9,Ürünler!$A$2:$A$55,0)),0)</f>
        <v>4190</v>
      </c>
      <c r="G9" s="4" t="str">
        <f aca="false">IF(D9=F9,"Eşit",IF(D9&gt;F9,C9,E9))</f>
        <v>50 litrelik benzin deposu</v>
      </c>
      <c r="H9" s="10" t="n">
        <f aca="false">IF(MIN(D9,F9)=0,0,ABS(D9-F9)/MIN(D9,F9))</f>
        <v>0.154906284454245</v>
      </c>
    </row>
    <row r="10" customFormat="false" ht="15" hidden="false" customHeight="false" outlineLevel="0" collapsed="false">
      <c r="A10" s="9" t="s">
        <v>173</v>
      </c>
      <c r="B10" s="9" t="s">
        <v>143</v>
      </c>
      <c r="C10" s="4" t="str">
        <f aca="false">IFERROR(INDEX(Ürünler!$B$2:$B$55,MATCH(A10,Ürünler!$A$2:$A$55,0)),"ID yok")</f>
        <v>Netflix Premium 1 yıl</v>
      </c>
      <c r="D10" s="7" t="n">
        <f aca="false">IFERROR(INDEX(Ürünler!$D$2:$D$55,MATCH(A10,Ürünler!$A$2:$A$55,0)),0)</f>
        <v>5999.88</v>
      </c>
      <c r="E10" s="4" t="str">
        <f aca="false">IFERROR(INDEX(Ürünler!$B$2:$B$55,MATCH(B10,Ürünler!$A$2:$A$55,0)),"ID yok")</f>
        <v>1 gram altın</v>
      </c>
      <c r="F10" s="7" t="n">
        <f aca="false">IFERROR(INDEX(Ürünler!$D$2:$D$55,MATCH(B10,Ürünler!$A$2:$A$55,0)),0)</f>
        <v>6586.31</v>
      </c>
      <c r="G10" s="4" t="str">
        <f aca="false">IF(D10=F10,"Eşit",IF(D10&gt;F10,C10,E10))</f>
        <v>1 gram altın</v>
      </c>
      <c r="H10" s="10" t="n">
        <f aca="false">IF(MIN(D10,F10)=0,0,ABS(D10-F10)/MIN(D10,F10))</f>
        <v>0.0977402881390962</v>
      </c>
    </row>
    <row r="11" customFormat="false" ht="15" hidden="false" customHeight="false" outlineLevel="0" collapsed="false">
      <c r="A11" s="9" t="s">
        <v>111</v>
      </c>
      <c r="B11" s="9" t="s">
        <v>118</v>
      </c>
      <c r="C11" s="4" t="str">
        <f aca="false">IFERROR(INDEX(Ürünler!$B$2:$B$55,MATCH(A11,Ürünler!$A$2:$A$55,0)),"ID yok")</f>
        <v>Togg T10F (giriş)</v>
      </c>
      <c r="D11" s="7" t="n">
        <f aca="false">IFERROR(INDEX(Ürünler!$D$2:$D$55,MATCH(A11,Ürünler!$A$2:$A$55,0)),0)</f>
        <v>1884980</v>
      </c>
      <c r="E11" s="4" t="str">
        <f aca="false">IFERROR(INDEX(Ürünler!$B$2:$B$55,MATCH(B11,Ürünler!$A$2:$A$55,0)),"ID yok")</f>
        <v>Renault Duster (giriş)</v>
      </c>
      <c r="F11" s="7" t="n">
        <f aca="false">IFERROR(INDEX(Ürünler!$D$2:$D$55,MATCH(B11,Ürünler!$A$2:$A$55,0)),0)</f>
        <v>1865000</v>
      </c>
      <c r="G11" s="4" t="str">
        <f aca="false">IF(D11=F11,"Eşit",IF(D11&gt;F11,C11,E11))</f>
        <v>Togg T10F (giriş)</v>
      </c>
      <c r="H11" s="10" t="n">
        <f aca="false">IF(MIN(D11,F11)=0,0,ABS(D11-F11)/MIN(D11,F11))</f>
        <v>0.0107131367292225</v>
      </c>
    </row>
    <row r="12" customFormat="false" ht="15" hidden="false" customHeight="false" outlineLevel="0" collapsed="false">
      <c r="A12" s="9" t="s">
        <v>113</v>
      </c>
      <c r="B12" s="9" t="s">
        <v>122</v>
      </c>
      <c r="C12" s="4" t="str">
        <f aca="false">IFERROR(INDEX(Ürünler!$B$2:$B$55,MATCH(A12,Ürünler!$A$2:$A$55,0)),"ID yok")</f>
        <v>Renault Clio evolution plus</v>
      </c>
      <c r="D12" s="7" t="n">
        <f aca="false">IFERROR(INDEX(Ürünler!$D$2:$D$55,MATCH(A12,Ürünler!$A$2:$A$55,0)),0)</f>
        <v>1830000</v>
      </c>
      <c r="E12" s="4" t="str">
        <f aca="false">IFERROR(INDEX(Ürünler!$B$2:$B$55,MATCH(B12,Ürünler!$A$2:$A$55,0)),"ID yok")</f>
        <v>Fiat Egea Cross (giriş, kampanyalı)</v>
      </c>
      <c r="F12" s="7" t="n">
        <f aca="false">IFERROR(INDEX(Ürünler!$D$2:$D$55,MATCH(B12,Ürünler!$A$2:$A$55,0)),0)</f>
        <v>1890900</v>
      </c>
      <c r="G12" s="4" t="str">
        <f aca="false">IF(D12=F12,"Eşit",IF(D12&gt;F12,C12,E12))</f>
        <v>Fiat Egea Cross (giriş, kampanyalı)</v>
      </c>
      <c r="H12" s="10" t="n">
        <f aca="false">IF(MIN(D12,F12)=0,0,ABS(D12-F12)/MIN(D12,F12))</f>
        <v>0.0332786885245902</v>
      </c>
    </row>
    <row r="13" customFormat="false" ht="15" hidden="false" customHeight="false" outlineLevel="0" collapsed="false">
      <c r="A13" s="9" t="s">
        <v>73</v>
      </c>
      <c r="B13" s="9" t="s">
        <v>180</v>
      </c>
      <c r="C13" s="4" t="str">
        <f aca="false">IFERROR(INDEX(Ürünler!$B$2:$B$55,MATCH(A13,Ürünler!$A$2:$A$55,0)),"ID yok")</f>
        <v>iPhone Duo 256 GB (katlanabilir)</v>
      </c>
      <c r="D13" s="7" t="n">
        <f aca="false">IFERROR(INDEX(Ürünler!$D$2:$D$55,MATCH(A13,Ürünler!$A$2:$A$55,0)),0)</f>
        <v>229999</v>
      </c>
      <c r="E13" s="4" t="str">
        <f aca="false">IFERROR(INDEX(Ürünler!$B$2:$B$55,MATCH(B13,Ürünler!$A$2:$A$55,0)),"ID yok")</f>
        <v>Esenyurt 100 m² 1 yıllık kira</v>
      </c>
      <c r="F13" s="7" t="n">
        <f aca="false">IFERROR(INDEX(Ürünler!$D$2:$D$55,MATCH(B13,Ürünler!$A$2:$A$55,0)),0)</f>
        <v>273600</v>
      </c>
      <c r="G13" s="4" t="str">
        <f aca="false">IF(D13=F13,"Eşit",IF(D13&gt;F13,C13,E13))</f>
        <v>Esenyurt 100 m² 1 yıllık kira</v>
      </c>
      <c r="H13" s="10" t="n">
        <f aca="false">IF(MIN(D13,F13)=0,0,ABS(D13-F13)/MIN(D13,F13))</f>
        <v>0.189570389436476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2026-10-20T09:27:52Z</dcterms:created>
  <dc:creator>openpyxl</dc:creator>
  <dc:description/>
  <dc:language>en-US</dc:language>
  <cp:lastModifiedBy/>
  <dcterms:modified xsi:type="dcterms:W3CDTF">2026-10-20T09:27:52Z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